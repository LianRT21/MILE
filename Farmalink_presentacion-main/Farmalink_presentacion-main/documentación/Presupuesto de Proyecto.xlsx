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tabRatio="500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Print_Area" localSheetId="0">'Presupuesto del proyecto'!$B$1:$S$74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<sst xmlns="http://schemas.openxmlformats.org/spreadsheetml/2006/main" count="326" uniqueCount="192">
  <si>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</si>
  <si>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</si>
  <si>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</si>
  <si>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</si>
  <si>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</si>
  <si>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</si>
  <si>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</si>
  <si>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</si>
  <si>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</si>
  <si>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</si>
  <si>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</si>
  <si>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</si>
  <si>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</si>
  <si>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</si>
  <si>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</si>
  <si>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</si>
  <si>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</si>
  <si>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</si>
  <si>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</si>
  <si>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</si>
  <si>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</si>
  <si>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</si>
  <si>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</si>
  <si>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</si>
  <si>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</si>
  <si>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Inicio del proyecto</t>
  </si>
  <si>
    <t>Formalizar el inicio del proyecto FarmaLink.</t>
  </si>
  <si>
    <t>Completo</t>
  </si>
  <si>
    <t>13/08/2026</t>
  </si>
  <si>
    <t>Definir objetivos del proyecto</t>
  </si>
  <si>
    <t>Establecer objetivos generales y específicos de FarmaLink.</t>
  </si>
  <si>
    <t>14/08/2026</t>
  </si>
  <si>
    <t>Definir alcance del proyecto</t>
  </si>
  <si>
    <t>Determinar funcionalidades incluidas, excluidas y cobertura geográfica.</t>
  </si>
  <si>
    <t>15/08/2026</t>
  </si>
  <si>
    <t>Identificar interesados</t>
  </si>
  <si>
    <t>Identificar usuarios, administradores y establecimientos farmacéuticos involucrados.</t>
  </si>
  <si>
    <t>17/08/2026</t>
  </si>
  <si>
    <t>Elaborar cronograma y planificación</t>
  </si>
  <si>
    <t>Establecer actividades, tiempos, recursos y responsables.</t>
  </si>
  <si>
    <t>18/08/2026</t>
  </si>
  <si>
    <t>Identificar riesgos</t>
  </si>
  <si>
    <t>Identificar riesgos técnicos, operativos y relacionados con la información.</t>
  </si>
  <si>
    <t>19/08/2026</t>
  </si>
  <si>
    <t>Levantar requisitos funcionales</t>
  </si>
  <si>
    <t>Definir las funciones de búsqueda, comparación, mapas, histórico y compra.</t>
  </si>
  <si>
    <t>Levantar requisitos no funcionales</t>
  </si>
  <si>
    <t>Definir requisitos de seguridad, rendimiento, disponibilidad y usabilidad.</t>
  </si>
  <si>
    <t>16/08/2026</t>
  </si>
  <si>
    <t>Definir perfiles de usuario</t>
  </si>
  <si>
    <t>Determinar los roles y permisos de los usuarios del sistema.</t>
  </si>
  <si>
    <t>Definir reglas de negocio</t>
  </si>
  <si>
    <t>Establecer reglas relacionadas con medicamentos, precios, disponibilidad y compras.</t>
  </si>
  <si>
    <t>Elaborar casos de uso</t>
  </si>
  <si>
    <t>Modelar las interacciones entre usuarios y sistema.</t>
  </si>
  <si>
    <t>Validar requisitos</t>
  </si>
  <si>
    <t>Revisar y aprobar los requisitos definidos.</t>
  </si>
  <si>
    <t>Diseñar arquitectura del sistema</t>
  </si>
  <si>
    <t>Definir la arquitectura y comunicación entre los componentes de FarmaLink.</t>
  </si>
  <si>
    <t>20/08/2026</t>
  </si>
  <si>
    <t>25/08/2026</t>
  </si>
  <si>
    <t>Diseñar base de datos</t>
  </si>
  <si>
    <t>Diseñar entidades, relaciones y estructuras de almacenamiento.</t>
  </si>
  <si>
    <t>24/08/2026</t>
  </si>
  <si>
    <t>28/08/2026</t>
  </si>
  <si>
    <t>Diseñar modelo de medicamentos</t>
  </si>
  <si>
    <t>Definir la estructura para almacenar medicamentos, principios activos y presentaciones.</t>
  </si>
  <si>
    <t>29/08/2026</t>
  </si>
  <si>
    <t>Diseñar modelo de establecimientos</t>
  </si>
  <si>
    <t>Definir la información de farmacias, ubicaciones y productos disponibles.</t>
  </si>
  <si>
    <t>26/08/2026</t>
  </si>
  <si>
    <t>30/08/2026</t>
  </si>
  <si>
    <t>Diseñar módulo histórico de precios</t>
  </si>
  <si>
    <t>Diseñar la estructura para almacenar y consultar la evolución de precios.</t>
  </si>
  <si>
    <t>27/08/2026</t>
  </si>
  <si>
    <t>31/08/2026</t>
  </si>
  <si>
    <t>Diseñar interfaz de usuario</t>
  </si>
  <si>
    <t>Diseñar pantallas, navegación, filtros, mapas y proceso de compra.</t>
  </si>
  <si>
    <t>En Progreso</t>
  </si>
  <si>
    <t>22/08/2026</t>
  </si>
  <si>
    <t>Validar diseño de la solución</t>
  </si>
  <si>
    <t>Revisar y aprobar los diseños antes del desarrollo.</t>
  </si>
  <si>
    <t>Configurar entorno de desarrollo</t>
  </si>
  <si>
    <t>Preparar herramientas, repositorios y ambientes de desarrollo.</t>
  </si>
  <si>
    <t>Implementar base de datos</t>
  </si>
  <si>
    <t>Construir la base de datos diseñada para FarmaLink.</t>
  </si>
  <si>
    <t>No Iniciado</t>
  </si>
  <si>
    <t>Desarrollar autenticación de usuarios</t>
  </si>
  <si>
    <t>Implementar registro, inicio de sesión y gestión de usuarios.</t>
  </si>
  <si>
    <t>Desarrollar módulo de medicamentos</t>
  </si>
  <si>
    <t>Implementar registro, consulta y visualización de medicamentos.</t>
  </si>
  <si>
    <t>15/09/2026</t>
  </si>
  <si>
    <t>Desarrollar búsqueda y filtros</t>
  </si>
  <si>
    <t>Implementar búsqueda por nombre, principio activo, presentación y filtros.</t>
  </si>
  <si>
    <t>17/09/2026</t>
  </si>
  <si>
    <t>23/09/2026</t>
  </si>
  <si>
    <t>Desarrollar comparación de precios</t>
  </si>
  <si>
    <t>Permitir comparar precios de medicamentos entre establecimientos.</t>
  </si>
  <si>
    <t>21/09/2026</t>
  </si>
  <si>
    <t>27/09/2026</t>
  </si>
  <si>
    <t>Desarrollar módulo de disponibilidad</t>
  </si>
  <si>
    <t>Mostrar la disponibilidad de medicamentos en las farmacias registradas.</t>
  </si>
  <si>
    <t>24/09/2026</t>
  </si>
  <si>
    <t>29/09/2026</t>
  </si>
  <si>
    <t>Desarrollar histórico de precios</t>
  </si>
  <si>
    <t>Implementar consultas y visualización de la evolución de precios.</t>
  </si>
  <si>
    <t>Desarrollar mapas y geolocalización</t>
  </si>
  <si>
    <t>Implementar visualización de establecimientos y productos mediante mapas.</t>
  </si>
  <si>
    <t>Desarrollar módulo de rutas</t>
  </si>
  <si>
    <t>Permitir generar indicaciones para llegar al establecimiento seleccionado.</t>
  </si>
  <si>
    <t>13/10/2026</t>
  </si>
  <si>
    <t>Desarrollar módulo de compra</t>
  </si>
  <si>
    <t>Implementar selección de productos, carrito y proceso de compra.</t>
  </si>
  <si>
    <t>15/10/2026</t>
  </si>
  <si>
    <t>22/10/2026</t>
  </si>
  <si>
    <t>Desarrollar módulo administrativo</t>
  </si>
  <si>
    <t>Implementar funciones de administración de usuarios, medicamentos, farmacias y datos.</t>
  </si>
  <si>
    <t>16/10/2026</t>
  </si>
  <si>
    <t>23/10/2026</t>
  </si>
  <si>
    <t>Integrar frontend y backend</t>
  </si>
  <si>
    <t>Integrar la interfaz con la lógica y servicios del sistema.</t>
  </si>
  <si>
    <t>20/10/2026</t>
  </si>
  <si>
    <t>26/10/2026</t>
  </si>
  <si>
    <t>Integrar base de datos</t>
  </si>
  <si>
    <t>Conectar los módulos de la plataforma con la base de datos.</t>
  </si>
  <si>
    <t>21/10/2026</t>
  </si>
  <si>
    <t>Integrar mapas y geolocalización</t>
  </si>
  <si>
    <t>Integrar los servicios de mapas, ubicación y rutas.</t>
  </si>
  <si>
    <t>27/10/2026</t>
  </si>
  <si>
    <t>Integrar proceso de compra</t>
  </si>
  <si>
    <t>Integrar catálogo, disponibilidad, carrito y compra.</t>
  </si>
  <si>
    <t>Recopilar información de medicamentos</t>
  </si>
  <si>
    <t>Recopilar la información de los medicamentos que estarán disponibles inicialmente.</t>
  </si>
  <si>
    <t>Registrar establecimientos farmacéuticos</t>
  </si>
  <si>
    <t>Registrar los establecimientos correspondientes a la ciudad cubierta.</t>
  </si>
  <si>
    <t>18/10/2026</t>
  </si>
  <si>
    <t>Registrar precios y disponibilidad</t>
  </si>
  <si>
    <t>Incorporar precios y disponibilidad de los medicamentos.</t>
  </si>
  <si>
    <t>25/10/2026</t>
  </si>
  <si>
    <t>Registrar ubicaciones</t>
  </si>
  <si>
    <t>Registrar direcciones y coordenadas de los establecimientos.</t>
  </si>
  <si>
    <t>Validar calidad de los datos</t>
  </si>
  <si>
    <t>Verificar que la información sea consistente y adecuada.</t>
  </si>
  <si>
    <t>Diseñar plan de pruebas</t>
  </si>
  <si>
    <t>Definir casos, escenarios y criterios de aceptación.</t>
  </si>
  <si>
    <t>29/10/2026</t>
  </si>
  <si>
    <t>Realizar pruebas funcionales</t>
  </si>
  <si>
    <t>Verificar que las funcionalidades cumplan los requisitos.</t>
  </si>
  <si>
    <t>Realizar pruebas de mapas y rutas</t>
  </si>
  <si>
    <t>Validar ubicación, mapas y generación de rutas.</t>
  </si>
  <si>
    <t>Realizar pruebas del proceso de compra</t>
  </si>
  <si>
    <t>Validar selección de productos y proceso de compra.</t>
  </si>
  <si>
    <t>Realizar pruebas de usabilidad</t>
  </si>
  <si>
    <t>Evaluar facilidad de uso y navegación de la plataforma.</t>
  </si>
  <si>
    <t>Corregir errores encontrados</t>
  </si>
  <si>
    <t>Corregir los errores identificados durante las pruebas.</t>
  </si>
  <si>
    <t>Realizar pruebas de aceptación</t>
  </si>
  <si>
    <t>Comprobar que la plataforma cumpla con las necesidades definidas.</t>
  </si>
  <si>
    <t>Configurar ambiente de producción</t>
  </si>
  <si>
    <t>Preparar el servidor y ambiente definitivo.</t>
  </si>
  <si>
    <t>13/11/2026</t>
  </si>
  <si>
    <t>Desplegar plataforma</t>
  </si>
  <si>
    <t>Publicar FarmaLink en el ambiente de producción.</t>
  </si>
  <si>
    <t>15/11/2026</t>
  </si>
  <si>
    <t>Realizar pruebas finales</t>
  </si>
  <si>
    <t>Verificar el funcionamiento de la plataforma desplegada.</t>
  </si>
  <si>
    <t>16/11/2026</t>
  </si>
  <si>
    <t>Elaborar documentación técnica</t>
  </si>
  <si>
    <t>Documentar arquitectura, tecnologías, BD y configuración.</t>
  </si>
  <si>
    <t>Elaborar manual de usuario</t>
  </si>
  <si>
    <t>Documentar el uso de las principales funciones de FarmaLink.</t>
  </si>
  <si>
    <t>Elaborar informe de pruebas</t>
  </si>
  <si>
    <t>Documentar casos ejecutados, resultados y correcciones.</t>
  </si>
  <si>
    <t>17/11/2026</t>
  </si>
  <si>
    <t>Realizar entrega final</t>
  </si>
  <si>
    <t>Entregar la plataforma y documentación correspondiente.</t>
  </si>
  <si>
    <t>18/11/2026</t>
  </si>
  <si>
    <t>Cerrar proyecto</t>
  </si>
  <si>
    <t>Formalizar el cierre y registrar lecciones aprendidas.</t>
  </si>
  <si>
    <t>SUBTOTAL</t>
  </si>
  <si>
    <t>listas desplegables</t>
  </si>
  <si>
    <t>SI / NO</t>
  </si>
  <si>
    <t>PRIORIDAD</t>
  </si>
  <si>
    <t>Si</t>
  </si>
  <si>
    <t>Baja</t>
  </si>
  <si>
    <t>No</t>
  </si>
  <si>
    <t>Media</t>
  </si>
  <si>
    <t>Alta</t>
  </si>
  <si>
    <t>Requiere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</si>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</sst>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  <numFmt numFmtId="179" formatCode="0.0"/>
    <numFmt numFmtId="180" formatCode="_(&quot;$&quot;* #,##0_);_(&quot;$&quot;* \(#,##0\);_(&quot;$&quot;* &quot;-&quot;??_);_(@_)"/>
  </numFmts>
  <fonts count="37">
    <font>
      <sz val="12"/>
      <color theme="1"/>
      <name val="Calibri"/>
      <charset val="134"/>
      <scheme val="minor"/>
    </font>
    <font>
      <sz val="10"/>
      <color theme="1"/>
      <name val="Century Gothic"/>
      <charset val="134"/>
    </font>
    <font>
      <sz val="22"/>
      <color theme="1" tint="0.349986266670736"/>
      <name val="Century Gothic"/>
      <charset val="134"/>
    </font>
    <font>
      <b/>
      <sz val="20"/>
      <color theme="0" tint="-0.499984740745262"/>
      <name val="Century Gothic"/>
      <charset val="134"/>
    </font>
    <font>
      <b/>
      <sz val="10"/>
      <color theme="1"/>
      <name val="Century Gothic"/>
      <charset val="134"/>
    </font>
    <font>
      <sz val="10"/>
      <color rgb="FF000000"/>
      <name val="Century Gothic"/>
      <charset val="134"/>
    </font>
    <font>
      <sz val="11"/>
      <color indexed="8"/>
      <name val="Century Gothic"/>
      <charset val="134"/>
    </font>
    <font>
      <b/>
      <sz val="24"/>
      <color theme="1" tint="0.349986266670736"/>
      <name val="Century Gothic"/>
      <charset val="134"/>
    </font>
    <font>
      <b/>
      <sz val="22"/>
      <color theme="1" tint="0.349986266670736"/>
      <name val="Century Gothic"/>
      <charset val="134"/>
    </font>
    <font>
      <sz val="12"/>
      <color theme="1" tint="0.349986266670736"/>
      <name val="Century Gothic"/>
      <charset val="134"/>
    </font>
    <font>
      <b/>
      <sz val="10"/>
      <color theme="0"/>
      <name val="Century Gothic"/>
      <charset val="134"/>
    </font>
    <font>
      <sz val="11"/>
      <color theme="1"/>
      <name val="Century Gothic"/>
      <charset val="134"/>
    </font>
    <font>
      <sz val="11"/>
      <color rgb="FF000000"/>
      <name val="Century Gothic"/>
      <charset val="134"/>
    </font>
    <font>
      <sz val="9"/>
      <name val="Calibri"/>
      <charset val="0"/>
      <scheme val="minor"/>
    </font>
    <font>
      <sz val="10"/>
      <name val="Century Gothic"/>
      <charset val="134"/>
    </font>
    <font>
      <sz val="10"/>
      <color theme="0"/>
      <name val="Century Gothic"/>
      <charset val="134"/>
    </font>
    <font>
      <sz val="10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9FAFC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6"/>
      </right>
      <top/>
      <bottom/>
      <diagonal/>
    </border>
    <border>
      <left/>
      <right style="thin">
        <color theme="0" tint="-0.249977111117893"/>
      </right>
      <top style="medium">
        <color theme="0" tint="-0.349986266670736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6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6"/>
      </top>
      <bottom style="thin">
        <color theme="0" tint="-0.249977111117893"/>
      </bottom>
      <diagonal/>
    </border>
    <border>
      <left/>
      <right/>
      <top style="medium">
        <color theme="0" tint="-0.349986266670736"/>
      </top>
      <bottom style="thin">
        <color theme="0" tint="-0.249977111117893"/>
      </bottom>
      <diagonal/>
    </border>
    <border>
      <left/>
      <right style="double">
        <color theme="0" tint="-0.349986266670736"/>
      </right>
      <top style="medium">
        <color theme="0" tint="-0.349986266670736"/>
      </top>
      <bottom style="thin">
        <color theme="0" tint="-0.249977111117893"/>
      </bottom>
      <diagonal/>
    </border>
    <border>
      <left style="double">
        <color theme="0" tint="-0.349986266670736"/>
      </left>
      <right/>
      <top style="medium">
        <color theme="0" tint="-0.349986266670736"/>
      </top>
      <bottom style="thin">
        <color theme="0" tint="-0.249977111117893"/>
      </bottom>
      <diagonal/>
    </border>
    <border>
      <left/>
      <right style="medium">
        <color theme="0" tint="-0.349986266670736"/>
      </right>
      <top style="medium">
        <color theme="0" tint="-0.349986266670736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6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6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6"/>
      </left>
      <right style="dashed">
        <color theme="0" tint="-0.349986266670736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6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6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6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1" borderId="2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2" borderId="24" applyNumberFormat="0" applyAlignment="0" applyProtection="0">
      <alignment vertical="center"/>
    </xf>
    <xf numFmtId="0" fontId="26" fillId="23" borderId="25" applyNumberFormat="0" applyAlignment="0" applyProtection="0">
      <alignment vertical="center"/>
    </xf>
    <xf numFmtId="0" fontId="27" fillId="23" borderId="24" applyNumberFormat="0" applyAlignment="0" applyProtection="0">
      <alignment vertical="center"/>
    </xf>
    <xf numFmtId="0" fontId="28" fillId="24" borderId="26" applyNumberFormat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6" fillId="0" borderId="0"/>
  </cellStyleXfs>
  <cellXfs count="7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1" fillId="6" borderId="2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wrapText="1" indent="1" readingOrder="1"/>
    </xf>
    <xf numFmtId="0" fontId="5" fillId="9" borderId="2" xfId="0" applyFont="1" applyFill="1" applyBorder="1" applyAlignment="1">
      <alignment horizontal="left" vertical="center" indent="1"/>
    </xf>
    <xf numFmtId="0" fontId="5" fillId="10" borderId="2" xfId="0" applyFont="1" applyFill="1" applyBorder="1" applyAlignment="1">
      <alignment horizontal="left" vertical="center" wrapText="1" indent="1" readingOrder="1"/>
    </xf>
    <xf numFmtId="0" fontId="6" fillId="0" borderId="0" xfId="0" applyFont="1"/>
    <xf numFmtId="0" fontId="1" fillId="11" borderId="2" xfId="0" applyFont="1" applyFill="1" applyBorder="1" applyAlignment="1">
      <alignment horizontal="left" vertical="center" wrapText="1" indent="1"/>
    </xf>
    <xf numFmtId="0" fontId="1" fillId="12" borderId="2" xfId="0" applyFont="1" applyFill="1" applyBorder="1" applyAlignment="1">
      <alignment horizontal="left" vertical="center" wrapText="1" indent="1"/>
    </xf>
    <xf numFmtId="0" fontId="1" fillId="13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3" xfId="0" applyFont="1" applyFill="1" applyBorder="1" applyAlignment="1">
      <alignment vertical="center"/>
    </xf>
    <xf numFmtId="0" fontId="10" fillId="14" borderId="4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horizontal="center" vertical="center" wrapText="1"/>
    </xf>
    <xf numFmtId="0" fontId="10" fillId="14" borderId="8" xfId="0" applyFont="1" applyFill="1" applyBorder="1" applyAlignment="1">
      <alignment horizontal="center" vertical="center" wrapText="1"/>
    </xf>
    <xf numFmtId="0" fontId="10" fillId="14" borderId="9" xfId="0" applyFont="1" applyFill="1" applyBorder="1" applyAlignment="1">
      <alignment horizontal="center" vertical="center" wrapText="1"/>
    </xf>
    <xf numFmtId="0" fontId="10" fillId="14" borderId="10" xfId="0" applyFont="1" applyFill="1" applyBorder="1" applyAlignment="1">
      <alignment horizontal="center" vertical="center" wrapText="1"/>
    </xf>
    <xf numFmtId="0" fontId="10" fillId="15" borderId="11" xfId="0" applyFont="1" applyFill="1" applyBorder="1" applyAlignment="1">
      <alignment horizontal="left" vertical="center" wrapText="1" indent="1"/>
    </xf>
    <xf numFmtId="0" fontId="10" fillId="15" borderId="11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horizontal="center" vertical="center" wrapText="1"/>
    </xf>
    <xf numFmtId="0" fontId="10" fillId="15" borderId="16" xfId="0" applyFont="1" applyFill="1" applyBorder="1" applyAlignment="1">
      <alignment horizontal="center" vertical="center" wrapText="1"/>
    </xf>
    <xf numFmtId="0" fontId="10" fillId="15" borderId="17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left" vertical="center" wrapText="1" indent="1"/>
    </xf>
    <xf numFmtId="178" fontId="1" fillId="16" borderId="2" xfId="0" applyNumberFormat="1" applyFont="1" applyFill="1" applyBorder="1" applyAlignment="1">
      <alignment horizontal="left" vertical="center" wrapText="1" indent="1"/>
    </xf>
    <xf numFmtId="178" fontId="1" fillId="16" borderId="18" xfId="0" applyNumberFormat="1" applyFont="1" applyFill="1" applyBorder="1" applyAlignment="1">
      <alignment horizontal="left" vertical="center" wrapText="1" indent="1"/>
    </xf>
    <xf numFmtId="0" fontId="1" fillId="16" borderId="13" xfId="0" applyFont="1" applyFill="1" applyBorder="1" applyAlignment="1">
      <alignment horizontal="left" vertical="center"/>
    </xf>
    <xf numFmtId="0" fontId="1" fillId="16" borderId="2" xfId="0" applyFont="1" applyFill="1" applyBorder="1" applyAlignment="1">
      <alignment horizontal="left" vertical="center"/>
    </xf>
    <xf numFmtId="0" fontId="1" fillId="16" borderId="14" xfId="0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16" borderId="16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left" vertical="center" wrapText="1" indent="1"/>
    </xf>
    <xf numFmtId="0" fontId="12" fillId="0" borderId="11" xfId="0" applyFont="1" applyFill="1" applyBorder="1" applyAlignment="1">
      <alignment horizontal="left" vertical="center" wrapText="1" indent="1" readingOrder="1"/>
    </xf>
    <xf numFmtId="0" fontId="1" fillId="2" borderId="2" xfId="0" applyFont="1" applyFill="1" applyBorder="1" applyAlignment="1">
      <alignment horizontal="left" vertical="center" wrapText="1" indent="1"/>
    </xf>
    <xf numFmtId="58" fontId="13" fillId="17" borderId="20" xfId="0" applyNumberFormat="1" applyFont="1" applyFill="1" applyBorder="1" applyAlignment="1">
      <alignment horizontal="center" vertical="center"/>
    </xf>
    <xf numFmtId="0" fontId="13" fillId="17" borderId="20" xfId="0" applyFont="1" applyFill="1" applyBorder="1" applyAlignment="1">
      <alignment horizontal="center" vertical="center"/>
    </xf>
    <xf numFmtId="179" fontId="14" fillId="0" borderId="13" xfId="0" applyNumberFormat="1" applyFont="1" applyBorder="1" applyAlignment="1" applyProtection="1">
      <alignment horizontal="center" vertical="center"/>
      <protection locked="0"/>
    </xf>
    <xf numFmtId="7" fontId="14" fillId="0" borderId="2" xfId="2" applyNumberFormat="1" applyFont="1" applyFill="1" applyBorder="1" applyAlignment="1" applyProtection="1">
      <alignment horizontal="right" vertical="center"/>
      <protection locked="0"/>
    </xf>
    <xf numFmtId="5" fontId="14" fillId="16" borderId="2" xfId="2" applyNumberFormat="1" applyFont="1" applyFill="1" applyBorder="1" applyAlignment="1" applyProtection="1">
      <alignment horizontal="right" vertical="center"/>
      <protection locked="0"/>
    </xf>
    <xf numFmtId="179" fontId="14" fillId="0" borderId="2" xfId="0" applyNumberFormat="1" applyFont="1" applyBorder="1" applyAlignment="1" applyProtection="1">
      <alignment horizontal="center" vertical="center"/>
      <protection locked="0"/>
    </xf>
    <xf numFmtId="5" fontId="14" fillId="0" borderId="2" xfId="0" applyNumberFormat="1" applyFont="1" applyBorder="1" applyAlignment="1" applyProtection="1">
      <alignment horizontal="right" vertical="center"/>
      <protection locked="0"/>
    </xf>
    <xf numFmtId="5" fontId="14" fillId="0" borderId="14" xfId="2" applyNumberFormat="1" applyFont="1" applyFill="1" applyBorder="1" applyAlignment="1" applyProtection="1">
      <alignment vertical="center"/>
      <protection locked="0"/>
    </xf>
    <xf numFmtId="180" fontId="1" fillId="0" borderId="15" xfId="2" applyNumberFormat="1" applyFont="1" applyFill="1" applyBorder="1" applyAlignment="1" applyProtection="1">
      <alignment vertical="center"/>
    </xf>
    <xf numFmtId="180" fontId="14" fillId="18" borderId="16" xfId="2" applyNumberFormat="1" applyFont="1" applyFill="1" applyBorder="1" applyAlignment="1" applyProtection="1">
      <alignment horizontal="left" vertical="center"/>
      <protection locked="0"/>
    </xf>
    <xf numFmtId="180" fontId="1" fillId="3" borderId="16" xfId="2" applyNumberFormat="1" applyFont="1" applyFill="1" applyBorder="1" applyAlignment="1" applyProtection="1">
      <alignment horizontal="left" vertical="center"/>
    </xf>
    <xf numFmtId="0" fontId="13" fillId="19" borderId="20" xfId="0" applyFont="1" applyFill="1" applyBorder="1" applyAlignment="1">
      <alignment horizontal="center" vertical="center"/>
    </xf>
    <xf numFmtId="58" fontId="13" fillId="19" borderId="20" xfId="0" applyNumberFormat="1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left" vertical="center" wrapText="1" indent="1"/>
    </xf>
    <xf numFmtId="0" fontId="15" fillId="20" borderId="2" xfId="0" applyFont="1" applyFill="1" applyBorder="1" applyAlignment="1">
      <alignment horizontal="left" vertical="center" wrapText="1" indent="1"/>
    </xf>
    <xf numFmtId="178" fontId="10" fillId="20" borderId="2" xfId="0" applyNumberFormat="1" applyFont="1" applyFill="1" applyBorder="1" applyAlignment="1">
      <alignment horizontal="left" vertical="center" wrapText="1" indent="1"/>
    </xf>
    <xf numFmtId="178" fontId="10" fillId="20" borderId="18" xfId="0" applyNumberFormat="1" applyFont="1" applyFill="1" applyBorder="1" applyAlignment="1">
      <alignment horizontal="left" vertical="center" wrapText="1" indent="1"/>
    </xf>
    <xf numFmtId="179" fontId="16" fillId="20" borderId="13" xfId="0" applyNumberFormat="1" applyFont="1" applyFill="1" applyBorder="1" applyAlignment="1" applyProtection="1">
      <alignment horizontal="left" vertical="center"/>
      <protection locked="0"/>
    </xf>
    <xf numFmtId="7" fontId="10" fillId="20" borderId="2" xfId="2" applyNumberFormat="1" applyFont="1" applyFill="1" applyBorder="1" applyAlignment="1" applyProtection="1">
      <alignment vertical="center"/>
      <protection locked="0"/>
    </xf>
    <xf numFmtId="5" fontId="10" fillId="20" borderId="2" xfId="0" applyNumberFormat="1" applyFont="1" applyFill="1" applyBorder="1" applyAlignment="1" applyProtection="1">
      <alignment vertical="center"/>
      <protection locked="0"/>
    </xf>
    <xf numFmtId="5" fontId="10" fillId="20" borderId="14" xfId="2" applyNumberFormat="1" applyFont="1" applyFill="1" applyBorder="1" applyAlignment="1" applyProtection="1">
      <alignment vertical="center"/>
      <protection locked="0"/>
    </xf>
    <xf numFmtId="180" fontId="10" fillId="20" borderId="15" xfId="2" applyNumberFormat="1" applyFont="1" applyFill="1" applyBorder="1" applyAlignment="1" applyProtection="1">
      <alignment vertical="center"/>
    </xf>
    <xf numFmtId="180" fontId="10" fillId="20" borderId="16" xfId="2" applyNumberFormat="1" applyFont="1" applyFill="1" applyBorder="1" applyAlignment="1" applyProtection="1">
      <alignment vertical="center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Nota" xfId="7" builtinId="10"/>
    <cellStyle name="Texto de advertencia" xfId="8" builtinId="11"/>
    <cellStyle name="Título" xfId="9" builtinId="15"/>
    <cellStyle name="Texto explicativo" xfId="10" builtinId="53"/>
    <cellStyle name="Título 1" xfId="11" builtinId="16"/>
    <cellStyle name="Título 2" xfId="12" builtinId="17"/>
    <cellStyle name="Título 3" xfId="13" builtinId="18"/>
    <cellStyle name="Título 4" xfId="14" builtinId="19"/>
    <cellStyle name="Entrada" xfId="15" builtinId="20"/>
    <cellStyle name="Salida" xfId="16" builtinId="21"/>
    <cellStyle name="Cálculo" xfId="17" builtinId="22"/>
    <cellStyle name="Celda de comprobación" xfId="18" builtinId="23"/>
    <cellStyle name="Celda vinculada" xfId="19" builtinId="24"/>
    <cellStyle name="Total" xfId="20" builtinId="25"/>
    <cellStyle name="Correcto" xfId="21" builtinId="26"/>
    <cellStyle name="Incorrecto" xfId="22" builtinId="27"/>
    <cellStyle name="Neutro" xfId="23" builtinId="28"/>
    <cellStyle name="Énfasis1" xfId="24" builtinId="29"/>
    <cellStyle name="20% - Énfasis1" xfId="25" builtinId="30"/>
    <cellStyle name="40% - Énfasis1" xfId="26" builtinId="31"/>
    <cellStyle name="60% - Énfasis1" xfId="27" builtinId="32"/>
    <cellStyle name="Énfasis2" xfId="28" builtinId="33"/>
    <cellStyle name="20% - Énfasis2" xfId="29" builtinId="34"/>
    <cellStyle name="40% - Énfasis2" xfId="30" builtinId="35"/>
    <cellStyle name="60% - Énfasis2" xfId="31" builtinId="36"/>
    <cellStyle name="Énfasis3" xfId="32" builtinId="37"/>
    <cellStyle name="20% - Énfasis3" xfId="33" builtinId="38"/>
    <cellStyle name="40% - Énfasis3" xfId="34" builtinId="39"/>
    <cellStyle name="60% - Énfasis3" xfId="35" builtinId="40"/>
    <cellStyle name="Énfasis4" xfId="36" builtinId="41"/>
    <cellStyle name="20% - Énfasis4" xfId="37" builtinId="42"/>
    <cellStyle name="40% - Énfasis4" xfId="38" builtinId="43"/>
    <cellStyle name="60% - Énfasis4" xfId="39" builtinId="44"/>
    <cellStyle name="Énfasis5" xfId="40" builtinId="45"/>
    <cellStyle name="20% - Énfasis5" xfId="41" builtinId="46"/>
    <cellStyle name="40% - Énfasis5" xfId="42" builtinId="47"/>
    <cellStyle name="60% - Énfasis5" xfId="43" builtinId="48"/>
    <cellStyle name="Énfasis6" xfId="44" builtinId="49"/>
    <cellStyle name="20% - Énfasis6" xfId="45" builtinId="50"/>
    <cellStyle name="40% - Énfasis6" xfId="46" builtinId="51"/>
    <cellStyle name="60% - Énfasis6" xfId="47" builtinId="52"/>
    <cellStyle name="Normal 2" xfId="48"/>
  </cellStyles>
  <dxfs count="22">
    <dxf>
      <fill>
        <patternFill patternType="solid">
          <bgColor rgb="FFC00000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rgb="FF5EE9E7"/>
        </patternFill>
      </fill>
    </dxf>
    <dxf>
      <fill>
        <patternFill patternType="solid">
          <bgColor rgb="FFABEFEA"/>
        </pattern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7" tint="0.399945066682943"/>
        </patternFill>
      </fill>
    </dxf>
    <dxf>
      <font>
        <color theme="1"/>
      </font>
      <fill>
        <patternFill patternType="solid">
          <bgColor rgb="FF03C25B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5EE9E7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ABEFEA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ont>
        <color theme="1"/>
      </font>
      <fill>
        <patternFill patternType="solid">
          <fgColor theme="1"/>
          <bgColor rgb="FFE7FFCA"/>
        </patternFill>
      </fill>
    </dxf>
    <dxf>
      <font>
        <color rgb="FF600000"/>
      </font>
      <fill>
        <patternFill patternType="solid">
          <bgColor rgb="FFFF927C"/>
        </patternFill>
      </fill>
    </dxf>
    <dxf>
      <font>
        <color theme="1"/>
      </font>
      <fill>
        <patternFill patternType="solid">
          <bgColor rgb="FF00EAF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9" defaultPivotStyle="PivotStyleMedium4"/>
  <colors>
    <mruColors>
      <color rgb="00FFF2CC"/>
      <color rgb="005EE9E7"/>
      <color rgb="00ABEFEA"/>
      <color rgb="00600000"/>
      <color rgb="00880000"/>
      <color rgb="00FF927C"/>
      <color rgb="00FF8B78"/>
      <color rgb="00E7FFCA"/>
      <color rgb="00E8EFF9"/>
      <color rgb="0000BD3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599993896298105"/>
    <pageSetUpPr fitToPage="1"/>
  </sheetPr>
  <dimension ref="A1:AO487"/>
  <sheetViews>
    <sheetView showGridLines="0" tabSelected="1" zoomScale="70" zoomScaleNormal="70" topLeftCell="A4" workbookViewId="0">
      <selection activeCell="W21" sqref="W21"/>
    </sheetView>
  </sheetViews>
  <sheetFormatPr defaultColWidth="11" defaultRowHeight="13.5"/>
  <cols>
    <col min="1" max="1" width="3.125" style="21" customWidth="1"/>
    <col min="2" max="2" width="37.9333333333333" style="21" customWidth="1"/>
    <col min="3" max="3" width="20.875" style="21" customWidth="1"/>
    <col min="4" max="4" width="12.875" style="21" customWidth="1"/>
    <col min="5" max="7" width="11.625" style="21" customWidth="1"/>
    <col min="8" max="8" width="8.875" style="21" customWidth="1"/>
    <col min="9" max="9" width="10" style="21" customWidth="1"/>
    <col min="10" max="10" width="11.875" style="21" customWidth="1"/>
    <col min="11" max="11" width="8.875" style="21" customWidth="1"/>
    <col min="12" max="12" width="10" style="21" customWidth="1"/>
    <col min="13" max="16" width="11.875" style="21" customWidth="1"/>
    <col min="17" max="19" width="12.875" style="21" customWidth="1"/>
    <col min="20" max="20" width="3.125" style="21" customWidth="1"/>
    <col min="21" max="16384" width="11" style="21"/>
  </cols>
  <sheetData>
    <row r="1" ht="45" customHeight="1" spans="1:41">
      <c r="A1" s="20"/>
      <c r="B1" s="22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3"/>
      <c r="P1" s="3"/>
      <c r="Q1" s="3"/>
      <c r="R1" s="3"/>
      <c r="S1" s="3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</row>
    <row r="2" s="1" customFormat="1" ht="35.1" customHeight="1" spans="1:41">
      <c r="A2" s="4"/>
      <c r="B2" s="24" t="s">
        <v>1</v>
      </c>
      <c r="C2" s="24"/>
      <c r="D2" s="24"/>
      <c r="E2" s="24"/>
      <c r="F2" s="24"/>
      <c r="G2" s="25"/>
      <c r="H2" s="26" t="s">
        <v>2</v>
      </c>
      <c r="I2" s="27"/>
      <c r="J2" s="27"/>
      <c r="K2" s="27" t="s">
        <v>3</v>
      </c>
      <c r="L2" s="27"/>
      <c r="M2" s="27"/>
      <c r="N2" s="28" t="s">
        <v>4</v>
      </c>
      <c r="O2" s="29"/>
      <c r="P2" s="30"/>
      <c r="Q2" s="31" t="s">
        <v>5</v>
      </c>
      <c r="R2" s="29"/>
      <c r="S2" s="3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="1" customFormat="1" ht="35.1" customHeight="1" spans="1:41">
      <c r="A3" s="4"/>
      <c r="B3" s="33" t="s">
        <v>6</v>
      </c>
      <c r="C3" s="33" t="s">
        <v>7</v>
      </c>
      <c r="D3" s="33" t="s">
        <v>8</v>
      </c>
      <c r="E3" s="34" t="s">
        <v>9</v>
      </c>
      <c r="F3" s="34" t="s">
        <v>10</v>
      </c>
      <c r="G3" s="35" t="s">
        <v>11</v>
      </c>
      <c r="H3" s="36" t="s">
        <v>12</v>
      </c>
      <c r="I3" s="37" t="s">
        <v>13</v>
      </c>
      <c r="J3" s="37" t="s">
        <v>14</v>
      </c>
      <c r="K3" s="34" t="s">
        <v>15</v>
      </c>
      <c r="L3" s="34" t="s">
        <v>16</v>
      </c>
      <c r="M3" s="34" t="s">
        <v>17</v>
      </c>
      <c r="N3" s="34" t="s">
        <v>18</v>
      </c>
      <c r="O3" s="34" t="s">
        <v>19</v>
      </c>
      <c r="P3" s="38" t="s">
        <v>20</v>
      </c>
      <c r="Q3" s="39" t="s">
        <v>21</v>
      </c>
      <c r="R3" s="40" t="s">
        <v>22</v>
      </c>
      <c r="S3" s="41" t="s">
        <v>23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="1" customFormat="1" ht="30" customHeight="1" spans="1:41">
      <c r="A4" s="4"/>
      <c r="B4" s="42" t="s">
        <v>24</v>
      </c>
      <c r="C4" s="42"/>
      <c r="D4" s="42"/>
      <c r="E4" s="43"/>
      <c r="F4" s="43"/>
      <c r="G4" s="44"/>
      <c r="H4" s="45"/>
      <c r="I4" s="46"/>
      <c r="J4" s="46"/>
      <c r="K4" s="46"/>
      <c r="L4" s="46"/>
      <c r="M4" s="46"/>
      <c r="N4" s="46"/>
      <c r="O4" s="46"/>
      <c r="P4" s="47"/>
      <c r="Q4" s="48"/>
      <c r="R4" s="49"/>
      <c r="S4" s="4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="1" customFormat="1" ht="30" customHeight="1" spans="1:41">
      <c r="A5" s="4"/>
      <c r="B5" s="50" t="s">
        <v>25</v>
      </c>
      <c r="C5" s="51" t="s">
        <v>26</v>
      </c>
      <c r="D5" s="52" t="s">
        <v>27</v>
      </c>
      <c r="E5" s="53">
        <v>46364</v>
      </c>
      <c r="F5" s="53">
        <v>46364</v>
      </c>
      <c r="G5" s="54" t="s">
        <v>28</v>
      </c>
      <c r="H5" s="55">
        <v>2</v>
      </c>
      <c r="I5" s="56">
        <v>30000</v>
      </c>
      <c r="J5" s="57">
        <f>H5*I5</f>
        <v>60000</v>
      </c>
      <c r="K5" s="58">
        <v>6</v>
      </c>
      <c r="L5" s="56">
        <v>30000</v>
      </c>
      <c r="M5" s="57">
        <f>K5*L5</f>
        <v>180000</v>
      </c>
      <c r="N5" s="59">
        <v>0</v>
      </c>
      <c r="O5" s="59">
        <v>0</v>
      </c>
      <c r="P5" s="60">
        <v>10000</v>
      </c>
      <c r="Q5" s="61">
        <v>250000</v>
      </c>
      <c r="R5" s="62">
        <f>J5+M5+N5+O5+P5</f>
        <v>250000</v>
      </c>
      <c r="S5" s="63">
        <f>R5-Q5</f>
        <v>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="1" customFormat="1" ht="30" customHeight="1" spans="1:41">
      <c r="A6" s="4"/>
      <c r="B6" s="50" t="s">
        <v>29</v>
      </c>
      <c r="C6" s="51" t="s">
        <v>30</v>
      </c>
      <c r="D6" s="52" t="s">
        <v>27</v>
      </c>
      <c r="E6" s="54" t="s">
        <v>28</v>
      </c>
      <c r="F6" s="54" t="s">
        <v>28</v>
      </c>
      <c r="G6" s="54" t="s">
        <v>31</v>
      </c>
      <c r="H6" s="55">
        <v>3</v>
      </c>
      <c r="I6" s="56">
        <v>30000</v>
      </c>
      <c r="J6" s="57">
        <f>H6*I6</f>
        <v>90000</v>
      </c>
      <c r="K6" s="58">
        <v>6</v>
      </c>
      <c r="L6" s="56">
        <v>30000</v>
      </c>
      <c r="M6" s="57">
        <f>K6*L6</f>
        <v>180000</v>
      </c>
      <c r="N6" s="59">
        <v>0</v>
      </c>
      <c r="O6" s="59">
        <v>0</v>
      </c>
      <c r="P6" s="60">
        <v>10000</v>
      </c>
      <c r="Q6" s="61">
        <v>280000</v>
      </c>
      <c r="R6" s="62">
        <f>J6+M6+N6+O6+P6</f>
        <v>280000</v>
      </c>
      <c r="S6" s="63">
        <f>R6-Q6</f>
        <v>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="1" customFormat="1" ht="30" customHeight="1" spans="1:41">
      <c r="A7" s="4"/>
      <c r="B7" s="50" t="s">
        <v>32</v>
      </c>
      <c r="C7" s="51" t="s">
        <v>33</v>
      </c>
      <c r="D7" s="52" t="s">
        <v>27</v>
      </c>
      <c r="E7" s="54" t="s">
        <v>31</v>
      </c>
      <c r="F7" s="54" t="s">
        <v>31</v>
      </c>
      <c r="G7" s="54" t="s">
        <v>34</v>
      </c>
      <c r="H7" s="55">
        <v>4</v>
      </c>
      <c r="I7" s="56">
        <v>30000</v>
      </c>
      <c r="J7" s="57">
        <f>H7*I7</f>
        <v>120000</v>
      </c>
      <c r="K7" s="58">
        <v>6</v>
      </c>
      <c r="L7" s="56">
        <v>30000</v>
      </c>
      <c r="M7" s="57">
        <f>K7*L7</f>
        <v>180000</v>
      </c>
      <c r="N7" s="59">
        <v>0</v>
      </c>
      <c r="O7" s="59">
        <v>0</v>
      </c>
      <c r="P7" s="60">
        <v>10000</v>
      </c>
      <c r="Q7" s="61">
        <v>310000</v>
      </c>
      <c r="R7" s="62">
        <f>J7+M7+N7+O7+P7</f>
        <v>310000</v>
      </c>
      <c r="S7" s="63">
        <f>R7-Q7</f>
        <v>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="1" customFormat="1" ht="30" customHeight="1" spans="1:41">
      <c r="A8" s="4"/>
      <c r="B8" s="50" t="s">
        <v>35</v>
      </c>
      <c r="C8" s="51" t="s">
        <v>36</v>
      </c>
      <c r="D8" s="52" t="s">
        <v>27</v>
      </c>
      <c r="E8" s="54" t="s">
        <v>34</v>
      </c>
      <c r="F8" s="54" t="s">
        <v>34</v>
      </c>
      <c r="G8" s="54" t="s">
        <v>37</v>
      </c>
      <c r="H8" s="55">
        <v>4</v>
      </c>
      <c r="I8" s="56">
        <v>30000</v>
      </c>
      <c r="J8" s="57">
        <f t="shared" ref="J8:J39" si="0">H8*I8</f>
        <v>120000</v>
      </c>
      <c r="K8" s="58">
        <v>6</v>
      </c>
      <c r="L8" s="56">
        <v>30000</v>
      </c>
      <c r="M8" s="57">
        <f t="shared" ref="M8:M39" si="1">K8*L8</f>
        <v>180000</v>
      </c>
      <c r="N8" s="59">
        <v>30000</v>
      </c>
      <c r="O8" s="59">
        <v>0</v>
      </c>
      <c r="P8" s="60">
        <v>10000</v>
      </c>
      <c r="Q8" s="61">
        <v>340000</v>
      </c>
      <c r="R8" s="62">
        <f t="shared" ref="R8:R39" si="2">J8+M8+N8+O8+P8</f>
        <v>340000</v>
      </c>
      <c r="S8" s="63">
        <f t="shared" ref="S8:S39" si="3">R8-Q8</f>
        <v>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="1" customFormat="1" ht="30" customHeight="1" spans="1:41">
      <c r="A9" s="4"/>
      <c r="B9" s="50" t="s">
        <v>38</v>
      </c>
      <c r="C9" s="51" t="s">
        <v>39</v>
      </c>
      <c r="D9" s="52" t="s">
        <v>27</v>
      </c>
      <c r="E9" s="54" t="s">
        <v>37</v>
      </c>
      <c r="F9" s="54" t="s">
        <v>37</v>
      </c>
      <c r="G9" s="54" t="s">
        <v>40</v>
      </c>
      <c r="H9" s="55">
        <v>6</v>
      </c>
      <c r="I9" s="56">
        <v>30000</v>
      </c>
      <c r="J9" s="57">
        <f t="shared" si="0"/>
        <v>180000</v>
      </c>
      <c r="K9" s="58">
        <v>6</v>
      </c>
      <c r="L9" s="56">
        <v>30000</v>
      </c>
      <c r="M9" s="57">
        <f t="shared" si="1"/>
        <v>180000</v>
      </c>
      <c r="N9" s="59">
        <v>0</v>
      </c>
      <c r="O9" s="59">
        <v>0</v>
      </c>
      <c r="P9" s="60">
        <v>10000</v>
      </c>
      <c r="Q9" s="61">
        <v>370000</v>
      </c>
      <c r="R9" s="62">
        <f t="shared" si="2"/>
        <v>370000</v>
      </c>
      <c r="S9" s="63">
        <f t="shared" si="3"/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="1" customFormat="1" ht="30" customHeight="1" spans="1:41">
      <c r="A10" s="4"/>
      <c r="B10" s="50" t="s">
        <v>41</v>
      </c>
      <c r="C10" s="51" t="s">
        <v>42</v>
      </c>
      <c r="D10" s="52" t="s">
        <v>27</v>
      </c>
      <c r="E10" s="54" t="s">
        <v>40</v>
      </c>
      <c r="F10" s="54" t="s">
        <v>40</v>
      </c>
      <c r="G10" s="54" t="s">
        <v>43</v>
      </c>
      <c r="H10" s="55">
        <v>4</v>
      </c>
      <c r="I10" s="56">
        <v>30000</v>
      </c>
      <c r="J10" s="57">
        <f t="shared" si="0"/>
        <v>120000</v>
      </c>
      <c r="K10" s="58">
        <v>6</v>
      </c>
      <c r="L10" s="56">
        <v>30000</v>
      </c>
      <c r="M10" s="57">
        <f t="shared" si="1"/>
        <v>180000</v>
      </c>
      <c r="N10" s="59">
        <v>0</v>
      </c>
      <c r="O10" s="59">
        <v>0</v>
      </c>
      <c r="P10" s="60">
        <v>10000</v>
      </c>
      <c r="Q10" s="61">
        <v>310000</v>
      </c>
      <c r="R10" s="62">
        <f t="shared" si="2"/>
        <v>310000</v>
      </c>
      <c r="S10" s="63">
        <f t="shared" si="3"/>
        <v>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="1" customFormat="1" ht="30" customHeight="1" spans="1:41">
      <c r="A11" s="4"/>
      <c r="B11" s="50" t="s">
        <v>44</v>
      </c>
      <c r="C11" s="51" t="s">
        <v>45</v>
      </c>
      <c r="D11" s="52" t="s">
        <v>27</v>
      </c>
      <c r="E11" s="54" t="s">
        <v>34</v>
      </c>
      <c r="F11" s="54" t="s">
        <v>34</v>
      </c>
      <c r="G11" s="54" t="s">
        <v>40</v>
      </c>
      <c r="H11" s="55">
        <v>12</v>
      </c>
      <c r="I11" s="56">
        <v>30000</v>
      </c>
      <c r="J11" s="57">
        <f t="shared" si="0"/>
        <v>360000</v>
      </c>
      <c r="K11" s="58">
        <v>6</v>
      </c>
      <c r="L11" s="56">
        <v>30000</v>
      </c>
      <c r="M11" s="57">
        <f t="shared" si="1"/>
        <v>180000</v>
      </c>
      <c r="N11" s="59">
        <v>60000</v>
      </c>
      <c r="O11" s="59">
        <v>0</v>
      </c>
      <c r="P11" s="60">
        <v>20000</v>
      </c>
      <c r="Q11" s="61">
        <v>620000</v>
      </c>
      <c r="R11" s="62">
        <f t="shared" si="2"/>
        <v>620000</v>
      </c>
      <c r="S11" s="63">
        <f t="shared" si="3"/>
        <v>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="1" customFormat="1" ht="30" customHeight="1" spans="1:41">
      <c r="A12" s="4"/>
      <c r="B12" s="50" t="s">
        <v>46</v>
      </c>
      <c r="C12" s="51" t="s">
        <v>47</v>
      </c>
      <c r="D12" s="52" t="s">
        <v>27</v>
      </c>
      <c r="E12" s="54" t="s">
        <v>48</v>
      </c>
      <c r="F12" s="54" t="s">
        <v>48</v>
      </c>
      <c r="G12" s="54" t="s">
        <v>40</v>
      </c>
      <c r="H12" s="55">
        <v>10</v>
      </c>
      <c r="I12" s="56">
        <v>30000</v>
      </c>
      <c r="J12" s="57">
        <f t="shared" si="0"/>
        <v>300000</v>
      </c>
      <c r="K12" s="58">
        <v>6</v>
      </c>
      <c r="L12" s="56">
        <v>30000</v>
      </c>
      <c r="M12" s="57">
        <f t="shared" si="1"/>
        <v>180000</v>
      </c>
      <c r="N12" s="59">
        <v>0</v>
      </c>
      <c r="O12" s="59">
        <v>0</v>
      </c>
      <c r="P12" s="60">
        <v>20000</v>
      </c>
      <c r="Q12" s="61">
        <v>500000</v>
      </c>
      <c r="R12" s="62">
        <f t="shared" si="2"/>
        <v>500000</v>
      </c>
      <c r="S12" s="63">
        <f t="shared" si="3"/>
        <v>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="1" customFormat="1" ht="30" customHeight="1" spans="1:41">
      <c r="A13" s="4"/>
      <c r="B13" s="50" t="s">
        <v>49</v>
      </c>
      <c r="C13" s="51" t="s">
        <v>50</v>
      </c>
      <c r="D13" s="52" t="s">
        <v>27</v>
      </c>
      <c r="E13" s="54" t="s">
        <v>37</v>
      </c>
      <c r="F13" s="54" t="s">
        <v>37</v>
      </c>
      <c r="G13" s="54" t="s">
        <v>43</v>
      </c>
      <c r="H13" s="55">
        <v>6</v>
      </c>
      <c r="I13" s="56">
        <v>30000</v>
      </c>
      <c r="J13" s="57">
        <f t="shared" si="0"/>
        <v>180000</v>
      </c>
      <c r="K13" s="58">
        <v>6</v>
      </c>
      <c r="L13" s="56">
        <v>30000</v>
      </c>
      <c r="M13" s="57">
        <f t="shared" si="1"/>
        <v>180000</v>
      </c>
      <c r="N13" s="59">
        <v>0</v>
      </c>
      <c r="O13" s="59">
        <v>0</v>
      </c>
      <c r="P13" s="60">
        <v>10000</v>
      </c>
      <c r="Q13" s="61">
        <v>370000</v>
      </c>
      <c r="R13" s="62">
        <f t="shared" si="2"/>
        <v>370000</v>
      </c>
      <c r="S13" s="63">
        <f t="shared" si="3"/>
        <v>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="1" customFormat="1" ht="30" customHeight="1" spans="1:41">
      <c r="A14" s="4"/>
      <c r="B14" s="50" t="s">
        <v>51</v>
      </c>
      <c r="C14" s="51" t="s">
        <v>52</v>
      </c>
      <c r="D14" s="52" t="s">
        <v>27</v>
      </c>
      <c r="E14" s="54" t="s">
        <v>37</v>
      </c>
      <c r="F14" s="54" t="s">
        <v>37</v>
      </c>
      <c r="G14" s="54" t="s">
        <v>43</v>
      </c>
      <c r="H14" s="55">
        <v>8</v>
      </c>
      <c r="I14" s="56">
        <v>30000</v>
      </c>
      <c r="J14" s="57">
        <f t="shared" si="0"/>
        <v>240000</v>
      </c>
      <c r="K14" s="58">
        <v>6</v>
      </c>
      <c r="L14" s="56">
        <v>30000</v>
      </c>
      <c r="M14" s="57">
        <f t="shared" si="1"/>
        <v>180000</v>
      </c>
      <c r="N14" s="59">
        <v>0</v>
      </c>
      <c r="O14" s="59">
        <v>0</v>
      </c>
      <c r="P14" s="60">
        <v>10000</v>
      </c>
      <c r="Q14" s="61">
        <v>430000</v>
      </c>
      <c r="R14" s="62">
        <f t="shared" si="2"/>
        <v>430000</v>
      </c>
      <c r="S14" s="63">
        <f t="shared" si="3"/>
        <v>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="1" customFormat="1" ht="30" customHeight="1" spans="1:41">
      <c r="A15" s="4"/>
      <c r="B15" s="50" t="s">
        <v>53</v>
      </c>
      <c r="C15" s="51" t="s">
        <v>54</v>
      </c>
      <c r="D15" s="52" t="s">
        <v>27</v>
      </c>
      <c r="E15" s="54" t="s">
        <v>40</v>
      </c>
      <c r="F15" s="54" t="s">
        <v>40</v>
      </c>
      <c r="G15" s="54" t="s">
        <v>43</v>
      </c>
      <c r="H15" s="55">
        <v>10</v>
      </c>
      <c r="I15" s="56">
        <v>30000</v>
      </c>
      <c r="J15" s="57">
        <f t="shared" si="0"/>
        <v>300000</v>
      </c>
      <c r="K15" s="58">
        <v>6</v>
      </c>
      <c r="L15" s="56">
        <v>30000</v>
      </c>
      <c r="M15" s="57">
        <f t="shared" si="1"/>
        <v>180000</v>
      </c>
      <c r="N15" s="59">
        <v>0</v>
      </c>
      <c r="O15" s="59">
        <v>20000</v>
      </c>
      <c r="P15" s="60">
        <v>20000</v>
      </c>
      <c r="Q15" s="61">
        <v>520000</v>
      </c>
      <c r="R15" s="62">
        <f t="shared" si="2"/>
        <v>520000</v>
      </c>
      <c r="S15" s="63">
        <f t="shared" si="3"/>
        <v>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="1" customFormat="1" ht="30" customHeight="1" spans="1:41">
      <c r="A16" s="4"/>
      <c r="B16" s="50" t="s">
        <v>55</v>
      </c>
      <c r="C16" s="51" t="s">
        <v>56</v>
      </c>
      <c r="D16" s="52" t="s">
        <v>27</v>
      </c>
      <c r="E16" s="54" t="s">
        <v>43</v>
      </c>
      <c r="F16" s="54" t="s">
        <v>43</v>
      </c>
      <c r="G16" s="54" t="s">
        <v>43</v>
      </c>
      <c r="H16" s="55">
        <v>4</v>
      </c>
      <c r="I16" s="56">
        <v>30000</v>
      </c>
      <c r="J16" s="57">
        <f t="shared" si="0"/>
        <v>120000</v>
      </c>
      <c r="K16" s="58">
        <v>6</v>
      </c>
      <c r="L16" s="56">
        <v>30000</v>
      </c>
      <c r="M16" s="57">
        <f t="shared" si="1"/>
        <v>180000</v>
      </c>
      <c r="N16" s="59">
        <v>30000</v>
      </c>
      <c r="O16" s="59">
        <v>0</v>
      </c>
      <c r="P16" s="60">
        <v>10000</v>
      </c>
      <c r="Q16" s="61">
        <v>340000</v>
      </c>
      <c r="R16" s="62">
        <f t="shared" si="2"/>
        <v>340000</v>
      </c>
      <c r="S16" s="63">
        <f t="shared" si="3"/>
        <v>0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="1" customFormat="1" ht="30" customHeight="1" spans="1:41">
      <c r="A17" s="4"/>
      <c r="B17" s="50" t="s">
        <v>57</v>
      </c>
      <c r="C17" s="51" t="s">
        <v>58</v>
      </c>
      <c r="D17" s="52" t="s">
        <v>27</v>
      </c>
      <c r="E17" s="64" t="s">
        <v>59</v>
      </c>
      <c r="F17" s="64" t="s">
        <v>59</v>
      </c>
      <c r="G17" s="64" t="s">
        <v>60</v>
      </c>
      <c r="H17" s="55">
        <v>8</v>
      </c>
      <c r="I17" s="56">
        <v>30000</v>
      </c>
      <c r="J17" s="57">
        <f t="shared" si="0"/>
        <v>240000</v>
      </c>
      <c r="K17" s="58">
        <v>6</v>
      </c>
      <c r="L17" s="56">
        <v>30000</v>
      </c>
      <c r="M17" s="57">
        <f t="shared" si="1"/>
        <v>180000</v>
      </c>
      <c r="N17" s="59">
        <v>0</v>
      </c>
      <c r="O17" s="59">
        <v>0</v>
      </c>
      <c r="P17" s="60">
        <v>10000</v>
      </c>
      <c r="Q17" s="61">
        <v>460000</v>
      </c>
      <c r="R17" s="62">
        <f t="shared" si="2"/>
        <v>430000</v>
      </c>
      <c r="S17" s="63">
        <f t="shared" si="3"/>
        <v>-30000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="1" customFormat="1" ht="30" customHeight="1" spans="1:41">
      <c r="A18" s="4"/>
      <c r="B18" s="50" t="s">
        <v>61</v>
      </c>
      <c r="C18" s="51" t="s">
        <v>62</v>
      </c>
      <c r="D18" s="52" t="s">
        <v>27</v>
      </c>
      <c r="E18" s="64" t="s">
        <v>63</v>
      </c>
      <c r="F18" s="64" t="s">
        <v>63</v>
      </c>
      <c r="G18" s="64" t="s">
        <v>64</v>
      </c>
      <c r="H18" s="55">
        <v>10</v>
      </c>
      <c r="I18" s="56">
        <v>30000</v>
      </c>
      <c r="J18" s="57">
        <f t="shared" si="0"/>
        <v>300000</v>
      </c>
      <c r="K18" s="58">
        <v>6</v>
      </c>
      <c r="L18" s="56">
        <v>30000</v>
      </c>
      <c r="M18" s="57">
        <f t="shared" si="1"/>
        <v>180000</v>
      </c>
      <c r="N18" s="59">
        <v>0</v>
      </c>
      <c r="O18" s="59">
        <v>0</v>
      </c>
      <c r="P18" s="60">
        <v>10000</v>
      </c>
      <c r="Q18" s="61">
        <v>510000</v>
      </c>
      <c r="R18" s="62">
        <f t="shared" si="2"/>
        <v>490000</v>
      </c>
      <c r="S18" s="63">
        <f t="shared" si="3"/>
        <v>-20000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="1" customFormat="1" ht="30" customHeight="1" spans="1:41">
      <c r="A19" s="4"/>
      <c r="B19" s="50" t="s">
        <v>65</v>
      </c>
      <c r="C19" s="51" t="s">
        <v>66</v>
      </c>
      <c r="D19" s="52" t="s">
        <v>27</v>
      </c>
      <c r="E19" s="64" t="s">
        <v>60</v>
      </c>
      <c r="F19" s="64" t="s">
        <v>60</v>
      </c>
      <c r="G19" s="64" t="s">
        <v>67</v>
      </c>
      <c r="H19" s="55">
        <v>8</v>
      </c>
      <c r="I19" s="56">
        <v>30000</v>
      </c>
      <c r="J19" s="57">
        <f t="shared" si="0"/>
        <v>240000</v>
      </c>
      <c r="K19" s="58">
        <v>6</v>
      </c>
      <c r="L19" s="56">
        <v>30000</v>
      </c>
      <c r="M19" s="57">
        <f t="shared" si="1"/>
        <v>180000</v>
      </c>
      <c r="N19" s="59">
        <v>0</v>
      </c>
      <c r="O19" s="59">
        <v>0</v>
      </c>
      <c r="P19" s="60">
        <v>20000</v>
      </c>
      <c r="Q19" s="61">
        <v>440000</v>
      </c>
      <c r="R19" s="62">
        <f t="shared" si="2"/>
        <v>440000</v>
      </c>
      <c r="S19" s="63">
        <f t="shared" si="3"/>
        <v>0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="1" customFormat="1" ht="30" customHeight="1" spans="1:41">
      <c r="A20" s="4"/>
      <c r="B20" s="50" t="s">
        <v>68</v>
      </c>
      <c r="C20" s="51" t="s">
        <v>69</v>
      </c>
      <c r="D20" s="52" t="s">
        <v>27</v>
      </c>
      <c r="E20" s="64" t="s">
        <v>70</v>
      </c>
      <c r="F20" s="64" t="s">
        <v>70</v>
      </c>
      <c r="G20" s="64" t="s">
        <v>71</v>
      </c>
      <c r="H20" s="55">
        <v>8</v>
      </c>
      <c r="I20" s="56">
        <v>30000</v>
      </c>
      <c r="J20" s="57">
        <f t="shared" si="0"/>
        <v>240000</v>
      </c>
      <c r="K20" s="58">
        <v>6</v>
      </c>
      <c r="L20" s="56">
        <v>30000</v>
      </c>
      <c r="M20" s="57">
        <f t="shared" si="1"/>
        <v>180000</v>
      </c>
      <c r="N20" s="59">
        <v>0</v>
      </c>
      <c r="O20" s="59">
        <v>0</v>
      </c>
      <c r="P20" s="60">
        <v>10000</v>
      </c>
      <c r="Q20" s="61">
        <v>430000</v>
      </c>
      <c r="R20" s="62">
        <f t="shared" si="2"/>
        <v>430000</v>
      </c>
      <c r="S20" s="63">
        <f t="shared" si="3"/>
        <v>0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="1" customFormat="1" ht="30" customHeight="1" spans="1:41">
      <c r="A21" s="4"/>
      <c r="B21" s="50" t="s">
        <v>72</v>
      </c>
      <c r="C21" s="51" t="s">
        <v>73</v>
      </c>
      <c r="D21" s="52" t="s">
        <v>27</v>
      </c>
      <c r="E21" s="64" t="s">
        <v>74</v>
      </c>
      <c r="F21" s="64" t="s">
        <v>74</v>
      </c>
      <c r="G21" s="64" t="s">
        <v>75</v>
      </c>
      <c r="H21" s="55">
        <v>10</v>
      </c>
      <c r="I21" s="56">
        <v>30000</v>
      </c>
      <c r="J21" s="57">
        <f t="shared" si="0"/>
        <v>300000</v>
      </c>
      <c r="K21" s="58">
        <v>6</v>
      </c>
      <c r="L21" s="56">
        <v>30000</v>
      </c>
      <c r="M21" s="57">
        <f t="shared" si="1"/>
        <v>180000</v>
      </c>
      <c r="N21" s="59">
        <v>0</v>
      </c>
      <c r="O21" s="59">
        <v>20000</v>
      </c>
      <c r="P21" s="60">
        <v>20000</v>
      </c>
      <c r="Q21" s="61">
        <v>500000</v>
      </c>
      <c r="R21" s="62">
        <f t="shared" si="2"/>
        <v>520000</v>
      </c>
      <c r="S21" s="63">
        <f t="shared" si="3"/>
        <v>20000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="1" customFormat="1" ht="30" customHeight="1" spans="1:41">
      <c r="A22" s="4"/>
      <c r="B22" s="50" t="s">
        <v>76</v>
      </c>
      <c r="C22" s="51" t="s">
        <v>77</v>
      </c>
      <c r="D22" s="52" t="s">
        <v>78</v>
      </c>
      <c r="E22" s="64" t="s">
        <v>79</v>
      </c>
      <c r="F22" s="64" t="s">
        <v>79</v>
      </c>
      <c r="G22" s="65">
        <v>46031</v>
      </c>
      <c r="H22" s="55">
        <v>12</v>
      </c>
      <c r="I22" s="56">
        <v>30000</v>
      </c>
      <c r="J22" s="57">
        <f t="shared" si="0"/>
        <v>360000</v>
      </c>
      <c r="K22" s="58">
        <v>6</v>
      </c>
      <c r="L22" s="56">
        <v>30000</v>
      </c>
      <c r="M22" s="57">
        <f t="shared" si="1"/>
        <v>180000</v>
      </c>
      <c r="N22" s="59">
        <v>0</v>
      </c>
      <c r="O22" s="59">
        <v>20000</v>
      </c>
      <c r="P22" s="60">
        <v>20000</v>
      </c>
      <c r="Q22" s="61">
        <v>580000</v>
      </c>
      <c r="R22" s="62">
        <f t="shared" si="2"/>
        <v>580000</v>
      </c>
      <c r="S22" s="63">
        <f t="shared" si="3"/>
        <v>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="1" customFormat="1" ht="30" customHeight="1" spans="1:41">
      <c r="A23" s="4"/>
      <c r="B23" s="50" t="s">
        <v>80</v>
      </c>
      <c r="C23" s="51" t="s">
        <v>81</v>
      </c>
      <c r="D23" s="52" t="s">
        <v>78</v>
      </c>
      <c r="E23" s="65">
        <v>46031</v>
      </c>
      <c r="F23" s="65">
        <v>46031</v>
      </c>
      <c r="G23" s="65">
        <v>46062</v>
      </c>
      <c r="H23" s="55">
        <v>8</v>
      </c>
      <c r="I23" s="56">
        <v>30000</v>
      </c>
      <c r="J23" s="57">
        <f t="shared" si="0"/>
        <v>240000</v>
      </c>
      <c r="K23" s="58">
        <v>6</v>
      </c>
      <c r="L23" s="56">
        <v>30000</v>
      </c>
      <c r="M23" s="57">
        <f t="shared" si="1"/>
        <v>180000</v>
      </c>
      <c r="N23" s="59">
        <v>0</v>
      </c>
      <c r="O23" s="59">
        <v>0</v>
      </c>
      <c r="P23" s="60">
        <v>10000</v>
      </c>
      <c r="Q23" s="61">
        <v>430000</v>
      </c>
      <c r="R23" s="62">
        <f t="shared" si="2"/>
        <v>430000</v>
      </c>
      <c r="S23" s="63">
        <f t="shared" si="3"/>
        <v>0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="1" customFormat="1" ht="30" customHeight="1" spans="1:41">
      <c r="A24" s="4"/>
      <c r="B24" s="50" t="s">
        <v>82</v>
      </c>
      <c r="C24" s="51" t="s">
        <v>83</v>
      </c>
      <c r="D24" s="52" t="s">
        <v>78</v>
      </c>
      <c r="E24" s="64" t="s">
        <v>60</v>
      </c>
      <c r="F24" s="64" t="s">
        <v>60</v>
      </c>
      <c r="G24" s="65">
        <v>46062</v>
      </c>
      <c r="H24" s="55">
        <v>8</v>
      </c>
      <c r="I24" s="56">
        <v>30000</v>
      </c>
      <c r="J24" s="57">
        <f t="shared" si="0"/>
        <v>240000</v>
      </c>
      <c r="K24" s="58">
        <v>6</v>
      </c>
      <c r="L24" s="56">
        <v>30000</v>
      </c>
      <c r="M24" s="57">
        <f t="shared" si="1"/>
        <v>180000</v>
      </c>
      <c r="N24" s="59">
        <v>0</v>
      </c>
      <c r="O24" s="59">
        <v>0</v>
      </c>
      <c r="P24" s="60">
        <v>10000</v>
      </c>
      <c r="Q24" s="61">
        <v>430000</v>
      </c>
      <c r="R24" s="62">
        <f t="shared" si="2"/>
        <v>430000</v>
      </c>
      <c r="S24" s="63">
        <f t="shared" si="3"/>
        <v>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="1" customFormat="1" ht="30" customHeight="1" spans="1:41">
      <c r="A25" s="4"/>
      <c r="B25" s="50" t="s">
        <v>84</v>
      </c>
      <c r="C25" s="51" t="s">
        <v>85</v>
      </c>
      <c r="D25" s="52" t="s">
        <v>86</v>
      </c>
      <c r="E25" s="53">
        <v>46090</v>
      </c>
      <c r="F25" s="53">
        <v>46090</v>
      </c>
      <c r="G25" s="53">
        <v>46243</v>
      </c>
      <c r="H25" s="55">
        <v>10</v>
      </c>
      <c r="I25" s="56">
        <v>30000</v>
      </c>
      <c r="J25" s="57">
        <f t="shared" si="0"/>
        <v>300000</v>
      </c>
      <c r="K25" s="58">
        <v>6</v>
      </c>
      <c r="L25" s="56">
        <v>30000</v>
      </c>
      <c r="M25" s="57">
        <f t="shared" si="1"/>
        <v>180000</v>
      </c>
      <c r="N25" s="59">
        <v>0</v>
      </c>
      <c r="O25" s="59">
        <v>0</v>
      </c>
      <c r="P25" s="60">
        <v>20000</v>
      </c>
      <c r="Q25" s="61">
        <v>500000</v>
      </c>
      <c r="R25" s="62">
        <f t="shared" si="2"/>
        <v>500000</v>
      </c>
      <c r="S25" s="63">
        <f t="shared" si="3"/>
        <v>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="1" customFormat="1" ht="30" customHeight="1" spans="1:41">
      <c r="A26" s="4"/>
      <c r="B26" s="50" t="s">
        <v>87</v>
      </c>
      <c r="C26" s="51" t="s">
        <v>88</v>
      </c>
      <c r="D26" s="52" t="s">
        <v>86</v>
      </c>
      <c r="E26" s="53">
        <v>46212</v>
      </c>
      <c r="F26" s="53">
        <v>46212</v>
      </c>
      <c r="G26" s="53">
        <v>46365</v>
      </c>
      <c r="H26" s="55">
        <v>20</v>
      </c>
      <c r="I26" s="56">
        <v>30000</v>
      </c>
      <c r="J26" s="57">
        <f t="shared" si="0"/>
        <v>600000</v>
      </c>
      <c r="K26" s="58">
        <v>6</v>
      </c>
      <c r="L26" s="56">
        <v>30000</v>
      </c>
      <c r="M26" s="57">
        <f t="shared" si="1"/>
        <v>180000</v>
      </c>
      <c r="N26" s="59">
        <v>0</v>
      </c>
      <c r="O26" s="59">
        <v>10000</v>
      </c>
      <c r="P26" s="60">
        <v>20000</v>
      </c>
      <c r="Q26" s="61">
        <v>810000</v>
      </c>
      <c r="R26" s="62">
        <f t="shared" si="2"/>
        <v>810000</v>
      </c>
      <c r="S26" s="63">
        <f t="shared" si="3"/>
        <v>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="1" customFormat="1" ht="30" customHeight="1" spans="1:41">
      <c r="A27" s="4"/>
      <c r="B27" s="50" t="s">
        <v>89</v>
      </c>
      <c r="C27" s="51" t="s">
        <v>90</v>
      </c>
      <c r="D27" s="52" t="s">
        <v>86</v>
      </c>
      <c r="E27" s="53">
        <v>46274</v>
      </c>
      <c r="F27" s="53">
        <v>46274</v>
      </c>
      <c r="G27" s="54" t="s">
        <v>91</v>
      </c>
      <c r="H27" s="55">
        <v>16</v>
      </c>
      <c r="I27" s="56">
        <v>30000</v>
      </c>
      <c r="J27" s="57">
        <f t="shared" si="0"/>
        <v>480000</v>
      </c>
      <c r="K27" s="58">
        <v>6</v>
      </c>
      <c r="L27" s="56">
        <v>30000</v>
      </c>
      <c r="M27" s="57">
        <f t="shared" si="1"/>
        <v>180000</v>
      </c>
      <c r="N27" s="59">
        <v>0</v>
      </c>
      <c r="O27" s="59">
        <v>30000</v>
      </c>
      <c r="P27" s="60">
        <v>30000</v>
      </c>
      <c r="Q27" s="61">
        <v>720000</v>
      </c>
      <c r="R27" s="62">
        <f t="shared" si="2"/>
        <v>720000</v>
      </c>
      <c r="S27" s="63">
        <f t="shared" si="3"/>
        <v>0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="1" customFormat="1" ht="30" customHeight="1" spans="1:41">
      <c r="A28" s="4"/>
      <c r="B28" s="50" t="s">
        <v>92</v>
      </c>
      <c r="C28" s="51" t="s">
        <v>93</v>
      </c>
      <c r="D28" s="52" t="s">
        <v>86</v>
      </c>
      <c r="E28" s="64" t="s">
        <v>94</v>
      </c>
      <c r="F28" s="64" t="s">
        <v>94</v>
      </c>
      <c r="G28" s="64" t="s">
        <v>95</v>
      </c>
      <c r="H28" s="55">
        <v>28</v>
      </c>
      <c r="I28" s="56">
        <v>30000</v>
      </c>
      <c r="J28" s="57">
        <f t="shared" si="0"/>
        <v>840000</v>
      </c>
      <c r="K28" s="58">
        <v>6</v>
      </c>
      <c r="L28" s="56">
        <v>30000</v>
      </c>
      <c r="M28" s="57">
        <f t="shared" si="1"/>
        <v>180000</v>
      </c>
      <c r="N28" s="59">
        <v>0</v>
      </c>
      <c r="O28" s="59">
        <v>50000</v>
      </c>
      <c r="P28" s="60">
        <v>40000</v>
      </c>
      <c r="Q28" s="61">
        <v>1110000</v>
      </c>
      <c r="R28" s="62">
        <f t="shared" si="2"/>
        <v>1110000</v>
      </c>
      <c r="S28" s="63">
        <f t="shared" si="3"/>
        <v>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="1" customFormat="1" ht="30" customHeight="1" spans="1:41">
      <c r="A29" s="4"/>
      <c r="B29" s="50" t="s">
        <v>96</v>
      </c>
      <c r="C29" s="51" t="s">
        <v>97</v>
      </c>
      <c r="D29" s="52" t="s">
        <v>86</v>
      </c>
      <c r="E29" s="64" t="s">
        <v>98</v>
      </c>
      <c r="F29" s="64" t="s">
        <v>98</v>
      </c>
      <c r="G29" s="64" t="s">
        <v>99</v>
      </c>
      <c r="H29" s="55">
        <v>28</v>
      </c>
      <c r="I29" s="56">
        <v>30000</v>
      </c>
      <c r="J29" s="57">
        <f t="shared" si="0"/>
        <v>840000</v>
      </c>
      <c r="K29" s="58">
        <v>6</v>
      </c>
      <c r="L29" s="56">
        <v>30000</v>
      </c>
      <c r="M29" s="57">
        <f t="shared" si="1"/>
        <v>180000</v>
      </c>
      <c r="N29" s="59">
        <v>0</v>
      </c>
      <c r="O29" s="59">
        <v>80000</v>
      </c>
      <c r="P29" s="60">
        <v>50000</v>
      </c>
      <c r="Q29" s="61">
        <v>1150000</v>
      </c>
      <c r="R29" s="62">
        <f t="shared" si="2"/>
        <v>1150000</v>
      </c>
      <c r="S29" s="63">
        <f t="shared" si="3"/>
        <v>0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="1" customFormat="1" ht="30" customHeight="1" spans="1:41">
      <c r="A30" s="4"/>
      <c r="B30" s="50" t="s">
        <v>100</v>
      </c>
      <c r="C30" s="51" t="s">
        <v>101</v>
      </c>
      <c r="D30" s="52" t="s">
        <v>86</v>
      </c>
      <c r="E30" s="64" t="s">
        <v>102</v>
      </c>
      <c r="F30" s="64" t="s">
        <v>102</v>
      </c>
      <c r="G30" s="64" t="s">
        <v>103</v>
      </c>
      <c r="H30" s="55">
        <v>24</v>
      </c>
      <c r="I30" s="56">
        <v>30000</v>
      </c>
      <c r="J30" s="57">
        <f t="shared" si="0"/>
        <v>720000</v>
      </c>
      <c r="K30" s="58">
        <v>6</v>
      </c>
      <c r="L30" s="56">
        <v>30000</v>
      </c>
      <c r="M30" s="57">
        <f t="shared" si="1"/>
        <v>180000</v>
      </c>
      <c r="N30" s="59">
        <v>0</v>
      </c>
      <c r="O30" s="59">
        <v>20000</v>
      </c>
      <c r="P30" s="60">
        <v>30000</v>
      </c>
      <c r="Q30" s="61">
        <v>950000</v>
      </c>
      <c r="R30" s="62">
        <f t="shared" si="2"/>
        <v>950000</v>
      </c>
      <c r="S30" s="63">
        <f t="shared" si="3"/>
        <v>0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="1" customFormat="1" ht="30" customHeight="1" spans="1:41">
      <c r="A31" s="4"/>
      <c r="B31" s="50" t="s">
        <v>104</v>
      </c>
      <c r="C31" s="51" t="s">
        <v>105</v>
      </c>
      <c r="D31" s="52" t="s">
        <v>86</v>
      </c>
      <c r="E31" s="53">
        <v>46032</v>
      </c>
      <c r="F31" s="53">
        <v>46032</v>
      </c>
      <c r="G31" s="53">
        <v>46213</v>
      </c>
      <c r="H31" s="55">
        <v>28</v>
      </c>
      <c r="I31" s="56">
        <v>30000</v>
      </c>
      <c r="J31" s="57">
        <f t="shared" si="0"/>
        <v>840000</v>
      </c>
      <c r="K31" s="58">
        <v>6</v>
      </c>
      <c r="L31" s="56">
        <v>30000</v>
      </c>
      <c r="M31" s="57">
        <f t="shared" si="1"/>
        <v>180000</v>
      </c>
      <c r="N31" s="59">
        <v>0</v>
      </c>
      <c r="O31" s="59">
        <v>30000</v>
      </c>
      <c r="P31" s="60">
        <v>30000</v>
      </c>
      <c r="Q31" s="61">
        <v>1080000</v>
      </c>
      <c r="R31" s="62">
        <f t="shared" si="2"/>
        <v>1080000</v>
      </c>
      <c r="S31" s="63">
        <f t="shared" si="3"/>
        <v>0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="1" customFormat="1" ht="30" customHeight="1" spans="1:41">
      <c r="A32" s="4"/>
      <c r="B32" s="50" t="s">
        <v>106</v>
      </c>
      <c r="C32" s="51" t="s">
        <v>107</v>
      </c>
      <c r="D32" s="52" t="s">
        <v>86</v>
      </c>
      <c r="E32" s="53">
        <v>46091</v>
      </c>
      <c r="F32" s="53">
        <v>46091</v>
      </c>
      <c r="G32" s="53">
        <v>46305</v>
      </c>
      <c r="H32" s="55">
        <v>24</v>
      </c>
      <c r="I32" s="56">
        <v>30000</v>
      </c>
      <c r="J32" s="57">
        <f t="shared" si="0"/>
        <v>720000</v>
      </c>
      <c r="K32" s="58">
        <v>6</v>
      </c>
      <c r="L32" s="56">
        <v>30000</v>
      </c>
      <c r="M32" s="57">
        <f t="shared" si="1"/>
        <v>180000</v>
      </c>
      <c r="N32" s="59">
        <v>0</v>
      </c>
      <c r="O32" s="59">
        <v>20000</v>
      </c>
      <c r="P32" s="60">
        <v>30000</v>
      </c>
      <c r="Q32" s="61">
        <v>950000</v>
      </c>
      <c r="R32" s="62">
        <f t="shared" si="2"/>
        <v>950000</v>
      </c>
      <c r="S32" s="63">
        <f t="shared" si="3"/>
        <v>0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="1" customFormat="1" ht="30" customHeight="1" spans="1:41">
      <c r="A33" s="4"/>
      <c r="B33" s="50" t="s">
        <v>108</v>
      </c>
      <c r="C33" s="51" t="s">
        <v>109</v>
      </c>
      <c r="D33" s="52" t="s">
        <v>86</v>
      </c>
      <c r="E33" s="53">
        <v>46213</v>
      </c>
      <c r="F33" s="53">
        <v>46213</v>
      </c>
      <c r="G33" s="54" t="s">
        <v>110</v>
      </c>
      <c r="H33" s="55">
        <v>28</v>
      </c>
      <c r="I33" s="56">
        <v>30000</v>
      </c>
      <c r="J33" s="57">
        <f t="shared" si="0"/>
        <v>840000</v>
      </c>
      <c r="K33" s="58">
        <v>6</v>
      </c>
      <c r="L33" s="56">
        <v>30000</v>
      </c>
      <c r="M33" s="57">
        <f t="shared" si="1"/>
        <v>180000</v>
      </c>
      <c r="N33" s="59">
        <v>0</v>
      </c>
      <c r="O33" s="59">
        <v>30000</v>
      </c>
      <c r="P33" s="60">
        <v>30000</v>
      </c>
      <c r="Q33" s="61">
        <v>1080000</v>
      </c>
      <c r="R33" s="62">
        <f t="shared" si="2"/>
        <v>1080000</v>
      </c>
      <c r="S33" s="63">
        <f t="shared" si="3"/>
        <v>0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="1" customFormat="1" ht="30" customHeight="1" spans="1:41">
      <c r="A34" s="4"/>
      <c r="B34" s="50" t="s">
        <v>111</v>
      </c>
      <c r="C34" s="51" t="s">
        <v>112</v>
      </c>
      <c r="D34" s="52" t="s">
        <v>86</v>
      </c>
      <c r="E34" s="64" t="s">
        <v>113</v>
      </c>
      <c r="F34" s="64" t="s">
        <v>113</v>
      </c>
      <c r="G34" s="64" t="s">
        <v>114</v>
      </c>
      <c r="H34" s="55">
        <v>32</v>
      </c>
      <c r="I34" s="56">
        <v>30000</v>
      </c>
      <c r="J34" s="57">
        <f t="shared" si="0"/>
        <v>960000</v>
      </c>
      <c r="K34" s="58">
        <v>6</v>
      </c>
      <c r="L34" s="56">
        <v>30000</v>
      </c>
      <c r="M34" s="57">
        <f t="shared" si="1"/>
        <v>180000</v>
      </c>
      <c r="N34" s="59">
        <v>0</v>
      </c>
      <c r="O34" s="59">
        <v>30000</v>
      </c>
      <c r="P34" s="60">
        <v>30000</v>
      </c>
      <c r="Q34" s="61">
        <v>1200000</v>
      </c>
      <c r="R34" s="62">
        <f t="shared" si="2"/>
        <v>1200000</v>
      </c>
      <c r="S34" s="63">
        <f t="shared" si="3"/>
        <v>0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="1" customFormat="1" ht="30" customHeight="1" spans="1:41">
      <c r="A35" s="4"/>
      <c r="B35" s="50" t="s">
        <v>115</v>
      </c>
      <c r="C35" s="51" t="s">
        <v>116</v>
      </c>
      <c r="D35" s="52" t="s">
        <v>86</v>
      </c>
      <c r="E35" s="64" t="s">
        <v>117</v>
      </c>
      <c r="F35" s="64" t="s">
        <v>117</v>
      </c>
      <c r="G35" s="64" t="s">
        <v>118</v>
      </c>
      <c r="H35" s="55">
        <v>20</v>
      </c>
      <c r="I35" s="56">
        <v>30000</v>
      </c>
      <c r="J35" s="57">
        <f t="shared" si="0"/>
        <v>600000</v>
      </c>
      <c r="K35" s="58">
        <v>6</v>
      </c>
      <c r="L35" s="56">
        <v>30000</v>
      </c>
      <c r="M35" s="57">
        <f t="shared" si="1"/>
        <v>180000</v>
      </c>
      <c r="N35" s="59">
        <v>0</v>
      </c>
      <c r="O35" s="59">
        <v>50000</v>
      </c>
      <c r="P35" s="60">
        <v>30000</v>
      </c>
      <c r="Q35" s="61">
        <v>860000</v>
      </c>
      <c r="R35" s="62">
        <f t="shared" si="2"/>
        <v>860000</v>
      </c>
      <c r="S35" s="63">
        <f t="shared" si="3"/>
        <v>0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="1" customFormat="1" ht="30" customHeight="1" spans="1:41">
      <c r="A36" s="4"/>
      <c r="B36" s="50" t="s">
        <v>119</v>
      </c>
      <c r="C36" s="51" t="s">
        <v>120</v>
      </c>
      <c r="D36" s="52" t="s">
        <v>86</v>
      </c>
      <c r="E36" s="64" t="s">
        <v>121</v>
      </c>
      <c r="F36" s="64" t="s">
        <v>121</v>
      </c>
      <c r="G36" s="64" t="s">
        <v>122</v>
      </c>
      <c r="H36" s="55">
        <v>20</v>
      </c>
      <c r="I36" s="56">
        <v>30000</v>
      </c>
      <c r="J36" s="57">
        <f t="shared" si="0"/>
        <v>600000</v>
      </c>
      <c r="K36" s="58">
        <v>6</v>
      </c>
      <c r="L36" s="56">
        <v>30000</v>
      </c>
      <c r="M36" s="57">
        <f t="shared" si="1"/>
        <v>180000</v>
      </c>
      <c r="N36" s="59">
        <v>0</v>
      </c>
      <c r="O36" s="59">
        <v>80000</v>
      </c>
      <c r="P36" s="60">
        <v>40000</v>
      </c>
      <c r="Q36" s="61">
        <v>900000</v>
      </c>
      <c r="R36" s="62">
        <f t="shared" si="2"/>
        <v>900000</v>
      </c>
      <c r="S36" s="63">
        <f t="shared" si="3"/>
        <v>0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="1" customFormat="1" ht="30" customHeight="1" spans="1:41">
      <c r="A37" s="4"/>
      <c r="B37" s="50" t="s">
        <v>123</v>
      </c>
      <c r="C37" s="51" t="s">
        <v>124</v>
      </c>
      <c r="D37" s="52" t="s">
        <v>86</v>
      </c>
      <c r="E37" s="64" t="s">
        <v>125</v>
      </c>
      <c r="F37" s="64" t="s">
        <v>125</v>
      </c>
      <c r="G37" s="64" t="s">
        <v>122</v>
      </c>
      <c r="H37" s="55">
        <v>24</v>
      </c>
      <c r="I37" s="56">
        <v>30000</v>
      </c>
      <c r="J37" s="57">
        <f t="shared" si="0"/>
        <v>720000</v>
      </c>
      <c r="K37" s="58">
        <v>6</v>
      </c>
      <c r="L37" s="56">
        <v>30000</v>
      </c>
      <c r="M37" s="57">
        <f t="shared" si="1"/>
        <v>180000</v>
      </c>
      <c r="N37" s="59">
        <v>0</v>
      </c>
      <c r="O37" s="59">
        <v>50000</v>
      </c>
      <c r="P37" s="60">
        <v>30000</v>
      </c>
      <c r="Q37" s="61">
        <v>980000</v>
      </c>
      <c r="R37" s="62">
        <f t="shared" si="2"/>
        <v>980000</v>
      </c>
      <c r="S37" s="63">
        <f t="shared" si="3"/>
        <v>0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="1" customFormat="1" ht="30" customHeight="1" spans="1:41">
      <c r="A38" s="4"/>
      <c r="B38" s="50" t="s">
        <v>126</v>
      </c>
      <c r="C38" s="51" t="s">
        <v>127</v>
      </c>
      <c r="D38" s="52" t="s">
        <v>86</v>
      </c>
      <c r="E38" s="64" t="s">
        <v>114</v>
      </c>
      <c r="F38" s="64" t="s">
        <v>114</v>
      </c>
      <c r="G38" s="64" t="s">
        <v>128</v>
      </c>
      <c r="H38" s="55">
        <v>24</v>
      </c>
      <c r="I38" s="56">
        <v>30000</v>
      </c>
      <c r="J38" s="57">
        <f t="shared" si="0"/>
        <v>720000</v>
      </c>
      <c r="K38" s="58">
        <v>6</v>
      </c>
      <c r="L38" s="56">
        <v>30000</v>
      </c>
      <c r="M38" s="57">
        <f t="shared" si="1"/>
        <v>180000</v>
      </c>
      <c r="N38" s="59">
        <v>0</v>
      </c>
      <c r="O38" s="59">
        <v>30000</v>
      </c>
      <c r="P38" s="60">
        <v>30000</v>
      </c>
      <c r="Q38" s="61">
        <v>960000</v>
      </c>
      <c r="R38" s="62">
        <f t="shared" si="2"/>
        <v>960000</v>
      </c>
      <c r="S38" s="63">
        <f t="shared" si="3"/>
        <v>0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="1" customFormat="1" ht="30" customHeight="1" spans="1:41">
      <c r="A39" s="4"/>
      <c r="B39" s="50" t="s">
        <v>129</v>
      </c>
      <c r="C39" s="51" t="s">
        <v>130</v>
      </c>
      <c r="D39" s="52" t="s">
        <v>86</v>
      </c>
      <c r="E39" s="64" t="s">
        <v>118</v>
      </c>
      <c r="F39" s="64" t="s">
        <v>118</v>
      </c>
      <c r="G39" s="64" t="s">
        <v>128</v>
      </c>
      <c r="H39" s="55">
        <v>32</v>
      </c>
      <c r="I39" s="56">
        <v>30000</v>
      </c>
      <c r="J39" s="57">
        <f t="shared" si="0"/>
        <v>960000</v>
      </c>
      <c r="K39" s="58">
        <v>6</v>
      </c>
      <c r="L39" s="56">
        <v>30000</v>
      </c>
      <c r="M39" s="57">
        <f t="shared" si="1"/>
        <v>180000</v>
      </c>
      <c r="N39" s="59">
        <v>0</v>
      </c>
      <c r="O39" s="59">
        <v>60000</v>
      </c>
      <c r="P39" s="60">
        <v>50000</v>
      </c>
      <c r="Q39" s="61">
        <v>1250000</v>
      </c>
      <c r="R39" s="62">
        <f t="shared" si="2"/>
        <v>1250000</v>
      </c>
      <c r="S39" s="63">
        <f t="shared" si="3"/>
        <v>0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="1" customFormat="1" ht="30" customHeight="1" spans="1:41">
      <c r="A40" s="4"/>
      <c r="B40" s="50" t="s">
        <v>131</v>
      </c>
      <c r="C40" s="51" t="s">
        <v>132</v>
      </c>
      <c r="D40" s="52" t="s">
        <v>86</v>
      </c>
      <c r="E40" s="64" t="s">
        <v>113</v>
      </c>
      <c r="F40" s="64" t="s">
        <v>113</v>
      </c>
      <c r="G40" s="64" t="s">
        <v>121</v>
      </c>
      <c r="H40" s="55">
        <v>28</v>
      </c>
      <c r="I40" s="56">
        <v>30000</v>
      </c>
      <c r="J40" s="57">
        <f t="shared" ref="J40:J59" si="4">H40*I40</f>
        <v>840000</v>
      </c>
      <c r="K40" s="58">
        <v>6</v>
      </c>
      <c r="L40" s="56">
        <v>30000</v>
      </c>
      <c r="M40" s="57">
        <f t="shared" ref="M40:M59" si="5">K40*L40</f>
        <v>180000</v>
      </c>
      <c r="N40" s="59">
        <v>0</v>
      </c>
      <c r="O40" s="59">
        <v>50000</v>
      </c>
      <c r="P40" s="60">
        <v>40000</v>
      </c>
      <c r="Q40" s="61">
        <v>1110000</v>
      </c>
      <c r="R40" s="62">
        <f t="shared" ref="R40:R59" si="6">J40+M40+N40+O40+P40</f>
        <v>1110000</v>
      </c>
      <c r="S40" s="63">
        <f t="shared" ref="S40:S59" si="7">R40-Q40</f>
        <v>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="1" customFormat="1" ht="30" customHeight="1" spans="1:41">
      <c r="A41" s="4"/>
      <c r="B41" s="50" t="s">
        <v>133</v>
      </c>
      <c r="C41" s="51" t="s">
        <v>134</v>
      </c>
      <c r="D41" s="52" t="s">
        <v>86</v>
      </c>
      <c r="E41" s="64" t="s">
        <v>135</v>
      </c>
      <c r="F41" s="64" t="s">
        <v>135</v>
      </c>
      <c r="G41" s="64" t="s">
        <v>118</v>
      </c>
      <c r="H41" s="55">
        <v>20</v>
      </c>
      <c r="I41" s="56">
        <v>30000</v>
      </c>
      <c r="J41" s="57">
        <f t="shared" si="4"/>
        <v>600000</v>
      </c>
      <c r="K41" s="58">
        <v>6</v>
      </c>
      <c r="L41" s="56">
        <v>30000</v>
      </c>
      <c r="M41" s="57">
        <f t="shared" si="5"/>
        <v>180000</v>
      </c>
      <c r="N41" s="59">
        <v>0</v>
      </c>
      <c r="O41" s="59">
        <v>30000</v>
      </c>
      <c r="P41" s="60">
        <v>20000</v>
      </c>
      <c r="Q41" s="61">
        <v>830000</v>
      </c>
      <c r="R41" s="62">
        <f t="shared" si="6"/>
        <v>830000</v>
      </c>
      <c r="S41" s="63">
        <f t="shared" si="7"/>
        <v>0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="1" customFormat="1" ht="30" customHeight="1" spans="1:41">
      <c r="A42" s="4"/>
      <c r="B42" s="50" t="s">
        <v>136</v>
      </c>
      <c r="C42" s="51" t="s">
        <v>137</v>
      </c>
      <c r="D42" s="52" t="s">
        <v>86</v>
      </c>
      <c r="E42" s="64" t="s">
        <v>125</v>
      </c>
      <c r="F42" s="64" t="s">
        <v>125</v>
      </c>
      <c r="G42" s="64" t="s">
        <v>138</v>
      </c>
      <c r="H42" s="55">
        <v>12</v>
      </c>
      <c r="I42" s="56">
        <v>30000</v>
      </c>
      <c r="J42" s="57">
        <f t="shared" si="4"/>
        <v>360000</v>
      </c>
      <c r="K42" s="58">
        <v>6</v>
      </c>
      <c r="L42" s="56">
        <v>30000</v>
      </c>
      <c r="M42" s="57">
        <f t="shared" si="5"/>
        <v>180000</v>
      </c>
      <c r="N42" s="59">
        <v>0</v>
      </c>
      <c r="O42" s="59">
        <v>20000</v>
      </c>
      <c r="P42" s="60">
        <v>20000</v>
      </c>
      <c r="Q42" s="61">
        <v>580000</v>
      </c>
      <c r="R42" s="62">
        <f t="shared" si="6"/>
        <v>580000</v>
      </c>
      <c r="S42" s="63">
        <f t="shared" si="7"/>
        <v>0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="1" customFormat="1" ht="30" customHeight="1" spans="1:41">
      <c r="A43" s="4"/>
      <c r="B43" s="50" t="s">
        <v>139</v>
      </c>
      <c r="C43" s="51" t="s">
        <v>140</v>
      </c>
      <c r="D43" s="52" t="s">
        <v>86</v>
      </c>
      <c r="E43" s="64" t="s">
        <v>114</v>
      </c>
      <c r="F43" s="64" t="s">
        <v>114</v>
      </c>
      <c r="G43" s="64" t="s">
        <v>122</v>
      </c>
      <c r="H43" s="55">
        <v>8</v>
      </c>
      <c r="I43" s="56">
        <v>30000</v>
      </c>
      <c r="J43" s="57">
        <f t="shared" si="4"/>
        <v>240000</v>
      </c>
      <c r="K43" s="58">
        <v>6</v>
      </c>
      <c r="L43" s="56">
        <v>30000</v>
      </c>
      <c r="M43" s="57">
        <f t="shared" si="5"/>
        <v>180000</v>
      </c>
      <c r="N43" s="59">
        <v>0</v>
      </c>
      <c r="O43" s="59">
        <v>20000</v>
      </c>
      <c r="P43" s="60">
        <v>20000</v>
      </c>
      <c r="Q43" s="61">
        <v>460000</v>
      </c>
      <c r="R43" s="62">
        <f t="shared" si="6"/>
        <v>460000</v>
      </c>
      <c r="S43" s="63">
        <f t="shared" si="7"/>
        <v>0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="1" customFormat="1" ht="30" customHeight="1" spans="1:41">
      <c r="A44" s="4"/>
      <c r="B44" s="50" t="s">
        <v>141</v>
      </c>
      <c r="C44" s="51" t="s">
        <v>142</v>
      </c>
      <c r="D44" s="52" t="s">
        <v>86</v>
      </c>
      <c r="E44" s="64" t="s">
        <v>138</v>
      </c>
      <c r="F44" s="64" t="s">
        <v>138</v>
      </c>
      <c r="G44" s="64" t="s">
        <v>128</v>
      </c>
      <c r="H44" s="55">
        <v>12</v>
      </c>
      <c r="I44" s="56">
        <v>30000</v>
      </c>
      <c r="J44" s="57">
        <f t="shared" si="4"/>
        <v>360000</v>
      </c>
      <c r="K44" s="58">
        <v>6</v>
      </c>
      <c r="L44" s="56">
        <v>30000</v>
      </c>
      <c r="M44" s="57">
        <f t="shared" si="5"/>
        <v>180000</v>
      </c>
      <c r="N44" s="59">
        <v>50000</v>
      </c>
      <c r="O44" s="59">
        <v>0</v>
      </c>
      <c r="P44" s="60">
        <v>30000</v>
      </c>
      <c r="Q44" s="61">
        <v>620000</v>
      </c>
      <c r="R44" s="62">
        <f t="shared" si="6"/>
        <v>620000</v>
      </c>
      <c r="S44" s="63">
        <f t="shared" si="7"/>
        <v>0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="1" customFormat="1" ht="30" customHeight="1" spans="1:41">
      <c r="A45" s="4"/>
      <c r="B45" s="50" t="s">
        <v>143</v>
      </c>
      <c r="C45" s="51" t="s">
        <v>144</v>
      </c>
      <c r="D45" s="52" t="s">
        <v>86</v>
      </c>
      <c r="E45" s="54" t="s">
        <v>145</v>
      </c>
      <c r="F45" s="54" t="s">
        <v>145</v>
      </c>
      <c r="G45" s="53">
        <v>46064</v>
      </c>
      <c r="H45" s="55">
        <v>10</v>
      </c>
      <c r="I45" s="56">
        <v>30000</v>
      </c>
      <c r="J45" s="57">
        <f t="shared" si="4"/>
        <v>300000</v>
      </c>
      <c r="K45" s="58">
        <v>6</v>
      </c>
      <c r="L45" s="56">
        <v>30000</v>
      </c>
      <c r="M45" s="57">
        <f t="shared" si="5"/>
        <v>180000</v>
      </c>
      <c r="N45" s="59">
        <v>60000</v>
      </c>
      <c r="O45" s="59">
        <v>0</v>
      </c>
      <c r="P45" s="60">
        <v>30000</v>
      </c>
      <c r="Q45" s="61">
        <v>570000</v>
      </c>
      <c r="R45" s="62">
        <f t="shared" si="6"/>
        <v>570000</v>
      </c>
      <c r="S45" s="63">
        <f t="shared" si="7"/>
        <v>0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="1" customFormat="1" ht="30" customHeight="1" spans="1:41">
      <c r="A46" s="4"/>
      <c r="B46" s="50" t="s">
        <v>146</v>
      </c>
      <c r="C46" s="51" t="s">
        <v>147</v>
      </c>
      <c r="D46" s="52" t="s">
        <v>86</v>
      </c>
      <c r="E46" s="53">
        <v>46064</v>
      </c>
      <c r="F46" s="53">
        <v>46064</v>
      </c>
      <c r="G46" s="53">
        <v>46184</v>
      </c>
      <c r="H46" s="55">
        <v>8</v>
      </c>
      <c r="I46" s="56">
        <v>30000</v>
      </c>
      <c r="J46" s="57">
        <f t="shared" si="4"/>
        <v>240000</v>
      </c>
      <c r="K46" s="58">
        <v>6</v>
      </c>
      <c r="L46" s="56">
        <v>30000</v>
      </c>
      <c r="M46" s="57">
        <f t="shared" si="5"/>
        <v>180000</v>
      </c>
      <c r="N46" s="59">
        <v>60000</v>
      </c>
      <c r="O46" s="59">
        <v>0</v>
      </c>
      <c r="P46" s="60">
        <v>30000</v>
      </c>
      <c r="Q46" s="61">
        <v>510000</v>
      </c>
      <c r="R46" s="62">
        <f t="shared" si="6"/>
        <v>510000</v>
      </c>
      <c r="S46" s="63">
        <f t="shared" si="7"/>
        <v>0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="1" customFormat="1" ht="30" customHeight="1" spans="1:41">
      <c r="A47" s="4"/>
      <c r="B47" s="50" t="s">
        <v>148</v>
      </c>
      <c r="C47" s="51" t="s">
        <v>149</v>
      </c>
      <c r="D47" s="52" t="s">
        <v>86</v>
      </c>
      <c r="E47" s="53">
        <v>46092</v>
      </c>
      <c r="F47" s="53">
        <v>46092</v>
      </c>
      <c r="G47" s="53">
        <v>46214</v>
      </c>
      <c r="H47" s="55">
        <v>8</v>
      </c>
      <c r="I47" s="56">
        <v>30000</v>
      </c>
      <c r="J47" s="57">
        <f t="shared" si="4"/>
        <v>240000</v>
      </c>
      <c r="K47" s="58">
        <v>6</v>
      </c>
      <c r="L47" s="56">
        <v>30000</v>
      </c>
      <c r="M47" s="57">
        <f t="shared" si="5"/>
        <v>180000</v>
      </c>
      <c r="N47" s="59">
        <v>40000</v>
      </c>
      <c r="O47" s="59">
        <v>0</v>
      </c>
      <c r="P47" s="60">
        <v>30000</v>
      </c>
      <c r="Q47" s="61">
        <v>490000</v>
      </c>
      <c r="R47" s="62">
        <f t="shared" si="6"/>
        <v>490000</v>
      </c>
      <c r="S47" s="63">
        <f t="shared" si="7"/>
        <v>0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="1" customFormat="1" ht="30" customHeight="1" spans="1:41">
      <c r="A48" s="4"/>
      <c r="B48" s="50" t="s">
        <v>150</v>
      </c>
      <c r="C48" s="51" t="s">
        <v>151</v>
      </c>
      <c r="D48" s="52" t="s">
        <v>86</v>
      </c>
      <c r="E48" s="53">
        <v>46123</v>
      </c>
      <c r="F48" s="53">
        <v>46123</v>
      </c>
      <c r="G48" s="53">
        <v>46245</v>
      </c>
      <c r="H48" s="55">
        <v>10</v>
      </c>
      <c r="I48" s="56">
        <v>30000</v>
      </c>
      <c r="J48" s="57">
        <f t="shared" si="4"/>
        <v>300000</v>
      </c>
      <c r="K48" s="58">
        <v>6</v>
      </c>
      <c r="L48" s="56">
        <v>30000</v>
      </c>
      <c r="M48" s="57">
        <f t="shared" si="5"/>
        <v>180000</v>
      </c>
      <c r="N48" s="59">
        <v>0</v>
      </c>
      <c r="O48" s="59">
        <v>20000</v>
      </c>
      <c r="P48" s="60">
        <v>20000</v>
      </c>
      <c r="Q48" s="61">
        <v>520000</v>
      </c>
      <c r="R48" s="62">
        <f t="shared" si="6"/>
        <v>520000</v>
      </c>
      <c r="S48" s="63">
        <f t="shared" si="7"/>
        <v>0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="1" customFormat="1" ht="30" customHeight="1" spans="1:41">
      <c r="A49" s="4"/>
      <c r="B49" s="50" t="s">
        <v>152</v>
      </c>
      <c r="C49" s="51" t="s">
        <v>153</v>
      </c>
      <c r="D49" s="52" t="s">
        <v>86</v>
      </c>
      <c r="E49" s="53">
        <v>46153</v>
      </c>
      <c r="F49" s="53">
        <v>46153</v>
      </c>
      <c r="G49" s="53">
        <v>46276</v>
      </c>
      <c r="H49" s="55">
        <v>12</v>
      </c>
      <c r="I49" s="56">
        <v>30000</v>
      </c>
      <c r="J49" s="57">
        <f t="shared" si="4"/>
        <v>360000</v>
      </c>
      <c r="K49" s="58">
        <v>6</v>
      </c>
      <c r="L49" s="56">
        <v>30000</v>
      </c>
      <c r="M49" s="57">
        <f t="shared" si="5"/>
        <v>180000</v>
      </c>
      <c r="N49" s="59">
        <v>0</v>
      </c>
      <c r="O49" s="59">
        <v>10000</v>
      </c>
      <c r="P49" s="60">
        <v>30000</v>
      </c>
      <c r="Q49" s="61">
        <v>600000</v>
      </c>
      <c r="R49" s="62">
        <f t="shared" si="6"/>
        <v>580000</v>
      </c>
      <c r="S49" s="63">
        <f t="shared" si="7"/>
        <v>-20000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="1" customFormat="1" ht="30" customHeight="1" spans="1:41">
      <c r="A50" s="4"/>
      <c r="B50" s="50" t="s">
        <v>154</v>
      </c>
      <c r="C50" s="51" t="s">
        <v>155</v>
      </c>
      <c r="D50" s="52" t="s">
        <v>86</v>
      </c>
      <c r="E50" s="53">
        <v>46184</v>
      </c>
      <c r="F50" s="53">
        <v>46184</v>
      </c>
      <c r="G50" s="53">
        <v>46306</v>
      </c>
      <c r="H50" s="55">
        <v>16</v>
      </c>
      <c r="I50" s="56">
        <v>30000</v>
      </c>
      <c r="J50" s="57">
        <f t="shared" si="4"/>
        <v>480000</v>
      </c>
      <c r="K50" s="58">
        <v>6</v>
      </c>
      <c r="L50" s="56">
        <v>30000</v>
      </c>
      <c r="M50" s="57">
        <f t="shared" si="5"/>
        <v>180000</v>
      </c>
      <c r="N50" s="59">
        <v>0</v>
      </c>
      <c r="O50" s="59">
        <v>20000</v>
      </c>
      <c r="P50" s="60">
        <v>30000</v>
      </c>
      <c r="Q50" s="61">
        <v>710000</v>
      </c>
      <c r="R50" s="62">
        <f t="shared" si="6"/>
        <v>710000</v>
      </c>
      <c r="S50" s="63">
        <f t="shared" si="7"/>
        <v>0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="1" customFormat="1" ht="30" customHeight="1" spans="1:41">
      <c r="A51" s="4"/>
      <c r="B51" s="50" t="s">
        <v>156</v>
      </c>
      <c r="C51" s="51" t="s">
        <v>157</v>
      </c>
      <c r="D51" s="52" t="s">
        <v>86</v>
      </c>
      <c r="E51" s="53">
        <v>46276</v>
      </c>
      <c r="F51" s="53">
        <v>46276</v>
      </c>
      <c r="G51" s="53">
        <v>46337</v>
      </c>
      <c r="H51" s="55">
        <v>16</v>
      </c>
      <c r="I51" s="56">
        <v>30000</v>
      </c>
      <c r="J51" s="57">
        <f t="shared" si="4"/>
        <v>480000</v>
      </c>
      <c r="K51" s="58">
        <v>6</v>
      </c>
      <c r="L51" s="56">
        <v>30000</v>
      </c>
      <c r="M51" s="57">
        <f t="shared" si="5"/>
        <v>180000</v>
      </c>
      <c r="N51" s="59">
        <v>0</v>
      </c>
      <c r="O51" s="59">
        <v>20000</v>
      </c>
      <c r="P51" s="60">
        <v>30000</v>
      </c>
      <c r="Q51" s="61">
        <v>710000</v>
      </c>
      <c r="R51" s="62">
        <f t="shared" si="6"/>
        <v>710000</v>
      </c>
      <c r="S51" s="63">
        <f t="shared" si="7"/>
        <v>0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="1" customFormat="1" ht="30" customHeight="1" spans="1:41">
      <c r="A52" s="4"/>
      <c r="B52" s="50" t="s">
        <v>158</v>
      </c>
      <c r="C52" s="51" t="s">
        <v>159</v>
      </c>
      <c r="D52" s="52" t="s">
        <v>86</v>
      </c>
      <c r="E52" s="65">
        <v>46337</v>
      </c>
      <c r="F52" s="65">
        <v>46337</v>
      </c>
      <c r="G52" s="64" t="s">
        <v>160</v>
      </c>
      <c r="H52" s="55">
        <v>16</v>
      </c>
      <c r="I52" s="56">
        <v>30000</v>
      </c>
      <c r="J52" s="57">
        <f t="shared" si="4"/>
        <v>480000</v>
      </c>
      <c r="K52" s="58">
        <v>6</v>
      </c>
      <c r="L52" s="56">
        <v>30000</v>
      </c>
      <c r="M52" s="57">
        <f t="shared" si="5"/>
        <v>180000</v>
      </c>
      <c r="N52" s="59">
        <v>0</v>
      </c>
      <c r="O52" s="59">
        <v>30000</v>
      </c>
      <c r="P52" s="60">
        <v>30000</v>
      </c>
      <c r="Q52" s="61">
        <v>720000</v>
      </c>
      <c r="R52" s="62">
        <f t="shared" si="6"/>
        <v>720000</v>
      </c>
      <c r="S52" s="63">
        <f t="shared" si="7"/>
        <v>0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="1" customFormat="1" ht="30" customHeight="1" spans="1:41">
      <c r="A53" s="4"/>
      <c r="B53" s="50" t="s">
        <v>161</v>
      </c>
      <c r="C53" s="51" t="s">
        <v>162</v>
      </c>
      <c r="D53" s="52" t="s">
        <v>86</v>
      </c>
      <c r="E53" s="64" t="s">
        <v>160</v>
      </c>
      <c r="F53" s="64" t="s">
        <v>160</v>
      </c>
      <c r="G53" s="64" t="s">
        <v>163</v>
      </c>
      <c r="H53" s="55">
        <v>12</v>
      </c>
      <c r="I53" s="56">
        <v>30000</v>
      </c>
      <c r="J53" s="57">
        <f t="shared" si="4"/>
        <v>360000</v>
      </c>
      <c r="K53" s="58">
        <v>6</v>
      </c>
      <c r="L53" s="56">
        <v>30000</v>
      </c>
      <c r="M53" s="57">
        <f t="shared" si="5"/>
        <v>180000</v>
      </c>
      <c r="N53" s="59">
        <v>0</v>
      </c>
      <c r="O53" s="59">
        <v>20000</v>
      </c>
      <c r="P53" s="60">
        <v>30000</v>
      </c>
      <c r="Q53" s="61">
        <v>590000</v>
      </c>
      <c r="R53" s="62">
        <f t="shared" si="6"/>
        <v>590000</v>
      </c>
      <c r="S53" s="63">
        <f t="shared" si="7"/>
        <v>0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="1" customFormat="1" ht="30" customHeight="1" spans="1:41">
      <c r="A54" s="4"/>
      <c r="B54" s="50" t="s">
        <v>164</v>
      </c>
      <c r="C54" s="51" t="s">
        <v>165</v>
      </c>
      <c r="D54" s="52" t="s">
        <v>86</v>
      </c>
      <c r="E54" s="64" t="s">
        <v>163</v>
      </c>
      <c r="F54" s="64" t="s">
        <v>163</v>
      </c>
      <c r="G54" s="64" t="s">
        <v>166</v>
      </c>
      <c r="H54" s="55">
        <v>20</v>
      </c>
      <c r="I54" s="56">
        <v>30000</v>
      </c>
      <c r="J54" s="57">
        <f t="shared" si="4"/>
        <v>600000</v>
      </c>
      <c r="K54" s="58">
        <v>6</v>
      </c>
      <c r="L54" s="56">
        <v>30000</v>
      </c>
      <c r="M54" s="57">
        <f t="shared" si="5"/>
        <v>180000</v>
      </c>
      <c r="N54" s="59">
        <v>0</v>
      </c>
      <c r="O54" s="59">
        <v>10000</v>
      </c>
      <c r="P54" s="60">
        <v>40000</v>
      </c>
      <c r="Q54" s="61">
        <v>830000</v>
      </c>
      <c r="R54" s="62">
        <f t="shared" si="6"/>
        <v>830000</v>
      </c>
      <c r="S54" s="63">
        <f t="shared" si="7"/>
        <v>0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="1" customFormat="1" ht="30" customHeight="1" spans="1:41">
      <c r="A55" s="4"/>
      <c r="B55" s="50" t="s">
        <v>167</v>
      </c>
      <c r="C55" s="51" t="s">
        <v>168</v>
      </c>
      <c r="D55" s="52" t="s">
        <v>86</v>
      </c>
      <c r="E55" s="65">
        <v>46367</v>
      </c>
      <c r="F55" s="65">
        <v>46367</v>
      </c>
      <c r="G55" s="64" t="s">
        <v>166</v>
      </c>
      <c r="H55" s="55">
        <v>12</v>
      </c>
      <c r="I55" s="56">
        <v>30000</v>
      </c>
      <c r="J55" s="57">
        <f t="shared" si="4"/>
        <v>360000</v>
      </c>
      <c r="K55" s="58">
        <v>6</v>
      </c>
      <c r="L55" s="56">
        <v>30000</v>
      </c>
      <c r="M55" s="57">
        <f t="shared" si="5"/>
        <v>180000</v>
      </c>
      <c r="N55" s="59">
        <v>0</v>
      </c>
      <c r="O55" s="59">
        <v>10000</v>
      </c>
      <c r="P55" s="60">
        <v>30000</v>
      </c>
      <c r="Q55" s="61">
        <v>580000</v>
      </c>
      <c r="R55" s="62">
        <f t="shared" si="6"/>
        <v>580000</v>
      </c>
      <c r="S55" s="63">
        <f t="shared" si="7"/>
        <v>0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="1" customFormat="1" ht="30" customHeight="1" spans="1:41">
      <c r="A56" s="4"/>
      <c r="B56" s="50" t="s">
        <v>169</v>
      </c>
      <c r="C56" s="51" t="s">
        <v>170</v>
      </c>
      <c r="D56" s="52" t="s">
        <v>86</v>
      </c>
      <c r="E56" s="64" t="s">
        <v>160</v>
      </c>
      <c r="F56" s="64" t="s">
        <v>160</v>
      </c>
      <c r="G56" s="64" t="s">
        <v>166</v>
      </c>
      <c r="H56" s="55">
        <v>10</v>
      </c>
      <c r="I56" s="56">
        <v>30000</v>
      </c>
      <c r="J56" s="57">
        <f t="shared" si="4"/>
        <v>300000</v>
      </c>
      <c r="K56" s="58">
        <v>6</v>
      </c>
      <c r="L56" s="56">
        <v>30000</v>
      </c>
      <c r="M56" s="57">
        <f t="shared" si="5"/>
        <v>180000</v>
      </c>
      <c r="N56" s="59">
        <v>0</v>
      </c>
      <c r="O56" s="59">
        <v>50000</v>
      </c>
      <c r="P56" s="60">
        <v>40000</v>
      </c>
      <c r="Q56" s="61">
        <v>570000</v>
      </c>
      <c r="R56" s="62">
        <f t="shared" si="6"/>
        <v>570000</v>
      </c>
      <c r="S56" s="63">
        <f t="shared" si="7"/>
        <v>0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="1" customFormat="1" ht="30" customHeight="1" spans="1:41">
      <c r="A57" s="4"/>
      <c r="B57" s="50" t="s">
        <v>171</v>
      </c>
      <c r="C57" s="51" t="s">
        <v>172</v>
      </c>
      <c r="D57" s="52" t="s">
        <v>86</v>
      </c>
      <c r="E57" s="64" t="s">
        <v>163</v>
      </c>
      <c r="F57" s="64" t="s">
        <v>163</v>
      </c>
      <c r="G57" s="64" t="s">
        <v>173</v>
      </c>
      <c r="H57" s="55">
        <v>16</v>
      </c>
      <c r="I57" s="56">
        <v>30000</v>
      </c>
      <c r="J57" s="57">
        <f t="shared" si="4"/>
        <v>480000</v>
      </c>
      <c r="K57" s="58">
        <v>6</v>
      </c>
      <c r="L57" s="56">
        <v>30000</v>
      </c>
      <c r="M57" s="57">
        <f t="shared" si="5"/>
        <v>180000</v>
      </c>
      <c r="N57" s="59">
        <v>0</v>
      </c>
      <c r="O57" s="59">
        <v>50000</v>
      </c>
      <c r="P57" s="60">
        <v>40000</v>
      </c>
      <c r="Q57" s="61">
        <v>750000</v>
      </c>
      <c r="R57" s="62">
        <f t="shared" si="6"/>
        <v>750000</v>
      </c>
      <c r="S57" s="63">
        <f t="shared" si="7"/>
        <v>0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="1" customFormat="1" ht="30" customHeight="1" spans="1:41">
      <c r="A58" s="4"/>
      <c r="B58" s="50" t="s">
        <v>174</v>
      </c>
      <c r="C58" s="51" t="s">
        <v>175</v>
      </c>
      <c r="D58" s="52" t="s">
        <v>86</v>
      </c>
      <c r="E58" s="64" t="s">
        <v>173</v>
      </c>
      <c r="F58" s="64" t="s">
        <v>173</v>
      </c>
      <c r="G58" s="64" t="s">
        <v>176</v>
      </c>
      <c r="H58" s="55">
        <v>8</v>
      </c>
      <c r="I58" s="56">
        <v>30000</v>
      </c>
      <c r="J58" s="57">
        <f t="shared" si="4"/>
        <v>240000</v>
      </c>
      <c r="K58" s="58">
        <v>6</v>
      </c>
      <c r="L58" s="56">
        <v>30000</v>
      </c>
      <c r="M58" s="57">
        <f t="shared" si="5"/>
        <v>180000</v>
      </c>
      <c r="N58" s="59">
        <v>0</v>
      </c>
      <c r="O58" s="59">
        <v>20000</v>
      </c>
      <c r="P58" s="60">
        <v>20000</v>
      </c>
      <c r="Q58" s="61">
        <v>460000</v>
      </c>
      <c r="R58" s="62">
        <f t="shared" si="6"/>
        <v>460000</v>
      </c>
      <c r="S58" s="63">
        <f t="shared" si="7"/>
        <v>0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="1" customFormat="1" ht="30" customHeight="1" spans="1:41">
      <c r="A59" s="4"/>
      <c r="B59" s="50" t="s">
        <v>177</v>
      </c>
      <c r="C59" s="51" t="s">
        <v>178</v>
      </c>
      <c r="D59" s="52" t="s">
        <v>86</v>
      </c>
      <c r="E59" s="64" t="s">
        <v>176</v>
      </c>
      <c r="F59" s="64" t="s">
        <v>176</v>
      </c>
      <c r="G59" s="64" t="s">
        <v>176</v>
      </c>
      <c r="H59" s="55">
        <v>6</v>
      </c>
      <c r="I59" s="56">
        <v>30000</v>
      </c>
      <c r="J59" s="57">
        <f t="shared" si="4"/>
        <v>180000</v>
      </c>
      <c r="K59" s="58">
        <v>6</v>
      </c>
      <c r="L59" s="56">
        <v>30000</v>
      </c>
      <c r="M59" s="57">
        <f t="shared" si="5"/>
        <v>180000</v>
      </c>
      <c r="N59" s="59">
        <v>30000</v>
      </c>
      <c r="O59" s="59">
        <v>0</v>
      </c>
      <c r="P59" s="60">
        <v>20000</v>
      </c>
      <c r="Q59" s="61">
        <v>410000</v>
      </c>
      <c r="R59" s="62">
        <f t="shared" si="6"/>
        <v>410000</v>
      </c>
      <c r="S59" s="63">
        <f t="shared" si="7"/>
        <v>0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="1" customFormat="1" ht="30" customHeight="1" spans="1:41">
      <c r="A60" s="4"/>
      <c r="B60" s="66" t="s">
        <v>179</v>
      </c>
      <c r="C60" s="66"/>
      <c r="D60" s="67"/>
      <c r="E60" s="68"/>
      <c r="F60" s="68"/>
      <c r="G60" s="69"/>
      <c r="H60" s="70"/>
      <c r="I60" s="71"/>
      <c r="J60" s="72">
        <f>SUM(J5:J59)</f>
        <v>22890000</v>
      </c>
      <c r="K60" s="72"/>
      <c r="L60" s="72"/>
      <c r="M60" s="72">
        <f>SUM(M5:M59)</f>
        <v>9900000</v>
      </c>
      <c r="N60" s="72">
        <f>SUM(N5:N59)</f>
        <v>360000</v>
      </c>
      <c r="O60" s="72">
        <f>SUM(O5:O59)</f>
        <v>1010000</v>
      </c>
      <c r="P60" s="73">
        <f>SUM(P5:P59)</f>
        <v>1330000</v>
      </c>
      <c r="Q60" s="74">
        <f>SUM(Q5:Q59)</f>
        <v>35540000</v>
      </c>
      <c r="R60" s="75">
        <f>SUM(J60:P60)</f>
        <v>35490000</v>
      </c>
      <c r="S60" s="75">
        <f>R60-Q60</f>
        <v>-50000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="1" customFormat="1" ht="30" customHeight="1" spans="1:4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="1" customFormat="1" ht="30" customHeight="1" spans="1:4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="1" customFormat="1" ht="30" customHeight="1" spans="1:4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="1" customFormat="1" ht="30" customHeight="1" spans="1:4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="1" customFormat="1" ht="30" customHeight="1" spans="1:4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="1" customFormat="1" ht="30" customHeight="1" spans="1:4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="1" customFormat="1" ht="30" customHeight="1" spans="1:4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="1" customFormat="1" ht="30" customHeight="1" spans="1:4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="1" customFormat="1" ht="30" customHeight="1" spans="1:4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="1" customFormat="1" ht="30" customHeight="1" spans="1:4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="1" customFormat="1" ht="30" customHeight="1" spans="1:4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="1" customFormat="1" ht="30" customHeight="1" spans="1:4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="1" customFormat="1" ht="30" customHeight="1" spans="1:4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="1" customFormat="1" ht="30" customHeight="1" spans="1:4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="1" customFormat="1" ht="30" customHeight="1" spans="1:4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="1" customFormat="1" ht="30" customHeight="1" spans="1:41">
      <c r="A76" s="4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="1" customFormat="1" ht="30" customHeight="1" spans="1:41">
      <c r="A77" s="4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="1" customFormat="1" ht="30" customHeight="1" spans="1:41">
      <c r="A78" s="4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="1" customFormat="1" ht="30" customHeight="1" spans="1:41">
      <c r="A79" s="4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="1" customFormat="1" ht="30" customHeight="1" spans="1:41">
      <c r="A80" s="4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="1" customFormat="1" ht="30" customHeight="1" spans="1:41">
      <c r="A81" s="4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="1" customFormat="1" ht="30" customHeight="1" spans="1:41">
      <c r="A82" s="4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="1" customFormat="1" ht="30" customHeight="1" spans="1:41">
      <c r="A83" s="4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="1" customFormat="1" ht="30" customHeight="1" spans="1:41">
      <c r="A84" s="4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="1" customFormat="1" ht="11.1" customHeight="1" spans="1:41">
      <c r="A85" s="4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="1" customFormat="1" ht="35.1" customHeight="1" spans="1:41">
      <c r="A86" s="4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="1" customFormat="1" ht="35.1" customHeight="1" spans="1:41">
      <c r="A87" s="4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="1" customFormat="1" ht="30" customHeight="1" spans="1:41">
      <c r="A88" s="4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="1" customFormat="1" ht="30" customHeight="1" spans="1:41">
      <c r="A89" s="4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="1" customFormat="1" ht="30" customHeight="1" spans="1:41">
      <c r="A90" s="4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="1" customFormat="1" ht="30" customHeight="1" spans="1:41">
      <c r="A91" s="4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="1" customFormat="1" ht="30" customHeight="1" spans="1:41">
      <c r="A92" s="4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="1" customFormat="1" ht="30" customHeight="1" spans="1:41">
      <c r="A93" s="4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="1" customFormat="1" ht="30" customHeight="1" spans="1:41">
      <c r="A94" s="4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="1" customFormat="1" ht="30" customHeight="1" spans="1:41">
      <c r="A95" s="4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="1" customFormat="1" ht="30" customHeight="1" spans="1:41">
      <c r="A96" s="4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="1" customFormat="1" ht="30" customHeight="1" spans="1:41">
      <c r="A97" s="4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="1" customFormat="1" ht="30" customHeight="1" spans="1:41">
      <c r="A98" s="4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="20" customFormat="1" ht="21" customHeight="1"/>
    <row r="100" spans="1:4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2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</row>
    <row r="146" spans="1:2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</row>
    <row r="147" spans="1:2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</row>
    <row r="148" spans="1:2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</row>
    <row r="149" spans="1:2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</row>
    <row r="150" spans="1:2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</row>
    <row r="151" spans="1:2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</row>
    <row r="152" spans="1:2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</row>
    <row r="153" spans="1:2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</row>
    <row r="154" spans="1:2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</row>
    <row r="155" spans="1:2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</row>
    <row r="156" spans="1:2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</row>
    <row r="157" spans="1:2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</row>
    <row r="158" spans="1:2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</row>
    <row r="159" spans="1:2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</row>
    <row r="160" spans="1:2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</row>
    <row r="161" spans="1:2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</row>
    <row r="162" spans="1:2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</row>
    <row r="163" spans="1:2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</row>
    <row r="164" spans="1:2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</row>
    <row r="165" spans="1:2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</row>
    <row r="166" spans="1:2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</row>
    <row r="167" spans="1:2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</row>
    <row r="168" spans="1:2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</row>
    <row r="169" spans="1:2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</row>
    <row r="170" spans="1:2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</row>
    <row r="171" spans="1:2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</row>
    <row r="172" spans="1:2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</row>
    <row r="173" spans="1:2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</row>
    <row r="174" spans="1:2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</row>
    <row r="175" spans="1:2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</row>
    <row r="176" spans="1:2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</row>
    <row r="177" spans="1:2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</row>
    <row r="178" spans="1:2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</row>
    <row r="179" spans="1:2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</row>
    <row r="180" spans="1:2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</row>
    <row r="181" spans="1:2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</row>
    <row r="182" spans="1:2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</row>
    <row r="183" spans="1:2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</row>
    <row r="184" spans="1:2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</row>
    <row r="185" spans="1:2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</row>
    <row r="186" spans="1:2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</row>
    <row r="187" spans="1:2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</row>
    <row r="188" spans="1:2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</row>
    <row r="189" spans="1:2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</row>
    <row r="190" spans="1:2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</row>
    <row r="191" spans="1:2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</row>
    <row r="192" spans="1:2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</row>
    <row r="193" spans="1:2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</row>
    <row r="194" spans="1:2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</row>
    <row r="195" spans="1:2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</row>
    <row r="196" spans="1:2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</row>
    <row r="197" spans="1:2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</row>
    <row r="198" spans="1:2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</row>
    <row r="199" spans="1:2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</row>
    <row r="200" spans="1:2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</row>
    <row r="201" spans="1:2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</row>
    <row r="202" spans="1:2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</row>
    <row r="203" spans="1:2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</row>
    <row r="204" spans="1:2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</row>
    <row r="205" spans="1:2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</row>
    <row r="206" spans="1:2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</row>
    <row r="207" spans="1:2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</row>
    <row r="208" spans="1:2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</row>
    <row r="209" spans="1:2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</row>
    <row r="210" spans="1:2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</row>
    <row r="211" spans="1:2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</row>
    <row r="212" spans="1:2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</row>
    <row r="213" spans="1:2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</row>
    <row r="214" spans="1:2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</row>
    <row r="215" spans="1:2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</row>
    <row r="216" spans="1:2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</row>
    <row r="217" spans="1:2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</row>
    <row r="218" spans="1:2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</row>
    <row r="219" spans="1:2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</row>
    <row r="220" spans="1:2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</row>
    <row r="221" spans="1: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</row>
    <row r="222" spans="1:2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</row>
    <row r="223" spans="1:2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</row>
    <row r="224" spans="1:2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</row>
    <row r="225" spans="1:2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</row>
    <row r="226" spans="1:2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</row>
    <row r="227" spans="1:2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</row>
    <row r="228" spans="1:2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</row>
    <row r="229" spans="1:2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</row>
    <row r="230" spans="1:2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</row>
    <row r="231" spans="1:2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</row>
    <row r="232" spans="1:2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</row>
    <row r="233" spans="1:2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</row>
    <row r="234" spans="1:2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</row>
    <row r="235" spans="1:2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</row>
    <row r="236" spans="1:2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</row>
    <row r="237" spans="1:2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</row>
    <row r="238" spans="1:2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</row>
    <row r="239" spans="1:2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</row>
    <row r="240" spans="1:2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</row>
    <row r="241" spans="1:2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</row>
    <row r="242" spans="1:2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</row>
    <row r="243" spans="1:2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</row>
    <row r="244" spans="1:2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</row>
    <row r="245" spans="1:2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</row>
    <row r="246" spans="1:2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</row>
    <row r="247" spans="1:2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</row>
    <row r="248" spans="1:2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</row>
    <row r="249" spans="1:2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</row>
    <row r="250" spans="1:2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</row>
    <row r="251" spans="1:2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</row>
    <row r="252" spans="1:2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</row>
    <row r="253" spans="1:2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</row>
    <row r="254" spans="1:2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</row>
    <row r="255" spans="1:2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</row>
    <row r="256" spans="1:2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</row>
    <row r="257" spans="1:2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</row>
    <row r="258" spans="1:2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</row>
    <row r="259" spans="1:2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</row>
    <row r="260" spans="1:2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</row>
    <row r="261" spans="1:2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</row>
    <row r="262" spans="1:2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</row>
    <row r="263" spans="1:2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</row>
    <row r="264" spans="1:2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</row>
    <row r="265" spans="1:2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</row>
    <row r="266" spans="1:2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</row>
    <row r="267" spans="1:2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</row>
    <row r="268" spans="1:2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</row>
    <row r="269" spans="1:2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</row>
    <row r="270" spans="1:2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</row>
    <row r="271" spans="1:2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</row>
    <row r="272" spans="1:2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</row>
    <row r="273" spans="1:2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</row>
    <row r="274" spans="1:2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</row>
    <row r="275" spans="1:2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</row>
    <row r="276" spans="1:2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</row>
    <row r="277" spans="1:2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</row>
    <row r="278" spans="1:2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</row>
    <row r="279" spans="1:2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</row>
    <row r="280" spans="1:2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</row>
    <row r="281" spans="1:2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</row>
    <row r="282" spans="1:2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</row>
    <row r="283" spans="1:2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</row>
    <row r="284" spans="1:2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</row>
    <row r="285" spans="1:2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</row>
    <row r="286" spans="1:2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</row>
    <row r="287" spans="1:2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</row>
    <row r="288" spans="1:2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</row>
    <row r="289" spans="1:2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</row>
    <row r="290" spans="1:2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</row>
    <row r="291" spans="1:2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</row>
    <row r="292" spans="1:2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</row>
    <row r="293" spans="1:2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</row>
    <row r="294" spans="1:2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</row>
    <row r="295" spans="1:2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</row>
    <row r="296" spans="1:2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</row>
    <row r="297" spans="1:2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</row>
    <row r="298" spans="1:2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</row>
    <row r="299" spans="1:2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</row>
    <row r="300" spans="1:2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</row>
    <row r="301" spans="1:2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</row>
    <row r="302" spans="1:2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</row>
    <row r="303" spans="1:2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</row>
    <row r="304" spans="1:2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</row>
    <row r="305" spans="1:2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</row>
    <row r="306" spans="1:2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</row>
    <row r="307" spans="1:2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</row>
    <row r="308" spans="1:2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</row>
    <row r="309" spans="1:2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</row>
    <row r="310" spans="1:2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</row>
    <row r="311" spans="1:2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</row>
    <row r="312" spans="1:2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</row>
    <row r="313" spans="1:2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</row>
    <row r="314" spans="1:2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</row>
    <row r="315" spans="1:2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</row>
    <row r="316" spans="1:2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</row>
    <row r="317" spans="1:2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</row>
    <row r="318" spans="1:2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</row>
    <row r="319" spans="1:2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</row>
    <row r="320" spans="1:2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</row>
    <row r="321" spans="1: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</row>
    <row r="322" spans="1:2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</row>
    <row r="323" spans="1:2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</row>
    <row r="324" spans="1:2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</row>
    <row r="325" spans="1:2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</row>
    <row r="326" spans="1:2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</row>
    <row r="327" spans="1:2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</row>
    <row r="328" spans="1:2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</row>
    <row r="329" spans="1:2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</row>
    <row r="330" spans="1:2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</row>
    <row r="331" spans="1:2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</row>
    <row r="332" spans="1:2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</row>
    <row r="333" spans="1:2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</row>
    <row r="334" spans="1:2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</row>
    <row r="335" spans="1:2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</row>
    <row r="336" spans="1:2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</row>
    <row r="337" spans="1:2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</row>
    <row r="338" spans="1:2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</row>
    <row r="339" spans="1:2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</row>
    <row r="340" spans="1:2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</row>
    <row r="341" spans="1:2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</row>
    <row r="342" spans="1:2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</row>
    <row r="343" spans="1:2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</row>
    <row r="344" spans="1:2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</row>
    <row r="345" spans="1:2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</row>
    <row r="346" spans="1:2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</row>
    <row r="347" spans="1:2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</row>
    <row r="348" spans="1:2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</row>
    <row r="349" spans="1:2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</row>
    <row r="350" spans="1:2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</row>
    <row r="351" spans="1:2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</row>
    <row r="352" spans="1:2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</row>
    <row r="353" spans="1:2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</row>
    <row r="354" spans="1:2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</row>
    <row r="355" spans="1:2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</row>
    <row r="356" spans="1:2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</row>
    <row r="357" spans="1:2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</row>
    <row r="358" spans="1:2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</row>
    <row r="359" spans="1:2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</row>
    <row r="360" spans="1:2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</row>
    <row r="361" spans="1:2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</row>
    <row r="362" spans="1:2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</row>
    <row r="363" spans="1:2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</row>
    <row r="364" spans="1:2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</row>
    <row r="365" spans="1:2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</row>
    <row r="366" spans="1:2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</row>
    <row r="367" spans="1:2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</row>
    <row r="368" spans="1:2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</row>
    <row r="369" spans="1:2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</row>
    <row r="370" spans="1:2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</row>
    <row r="371" spans="1:2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</row>
    <row r="372" spans="1:2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</row>
    <row r="373" spans="1:2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</row>
    <row r="374" spans="1:2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</row>
    <row r="375" spans="1:2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</row>
    <row r="376" spans="1:2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</row>
    <row r="377" spans="1:2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</row>
    <row r="378" spans="1:2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</row>
    <row r="379" spans="1:2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</row>
    <row r="380" spans="1:2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</row>
    <row r="381" spans="1:2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</row>
    <row r="382" spans="1:2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</row>
    <row r="383" spans="1:2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</row>
    <row r="384" spans="1:2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</row>
    <row r="385" spans="1:2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</row>
    <row r="386" spans="1:2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</row>
    <row r="387" spans="1:2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</row>
    <row r="388" spans="1:2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</row>
    <row r="389" spans="1:2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</row>
    <row r="390" spans="1:2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</row>
    <row r="391" spans="1:2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</row>
    <row r="392" spans="1:2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</row>
    <row r="393" spans="1:2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</row>
    <row r="394" spans="1:2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</row>
    <row r="395" spans="1:2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</row>
    <row r="396" spans="1:2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</row>
    <row r="397" spans="1:2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</row>
    <row r="398" spans="1:2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</row>
    <row r="399" spans="1:2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</row>
    <row r="400" spans="1:2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</row>
    <row r="401" spans="1:2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</row>
    <row r="402" spans="1:2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</row>
    <row r="403" spans="1:2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</row>
    <row r="404" spans="1:2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</row>
    <row r="405" spans="1:2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</row>
    <row r="406" spans="1:2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</row>
    <row r="407" spans="1:2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</row>
    <row r="408" spans="1:2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</row>
    <row r="409" spans="1:2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</row>
    <row r="410" spans="1:2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</row>
    <row r="411" spans="1:2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</row>
    <row r="412" spans="1:2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</row>
    <row r="413" spans="1:2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</row>
    <row r="414" spans="1:2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</row>
    <row r="415" spans="1:2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</row>
    <row r="416" spans="1:2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</row>
    <row r="417" spans="1:2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</row>
    <row r="418" spans="1:2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</row>
    <row r="419" spans="1:2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</row>
    <row r="420" spans="1:2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</row>
    <row r="421" spans="1: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</row>
    <row r="422" spans="1:2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</row>
    <row r="423" spans="1:2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</row>
    <row r="424" spans="1:2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</row>
    <row r="425" spans="1:2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</row>
    <row r="426" spans="1:2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</row>
    <row r="427" spans="1:2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</row>
    <row r="428" spans="1:2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</row>
    <row r="429" spans="1:2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</row>
    <row r="430" spans="1:2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</row>
    <row r="431" spans="1:2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</row>
    <row r="432" spans="1:2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</row>
    <row r="433" spans="1:2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</row>
    <row r="434" spans="1:2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</row>
    <row r="435" spans="1:2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</row>
    <row r="436" spans="1:2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</row>
    <row r="437" spans="1:2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</row>
    <row r="438" spans="1:2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</row>
    <row r="439" spans="1:2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</row>
    <row r="440" spans="1:2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</row>
    <row r="441" spans="1:2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</row>
    <row r="442" spans="1:2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</row>
    <row r="443" spans="1:2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</row>
    <row r="444" spans="1:2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</row>
    <row r="445" spans="1:2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</row>
    <row r="446" spans="1:2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</row>
    <row r="447" spans="1:2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</row>
    <row r="448" spans="1:2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</row>
    <row r="449" spans="1:2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</row>
    <row r="450" spans="1:2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</row>
    <row r="451" spans="1:2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</row>
    <row r="452" spans="1:2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</row>
    <row r="453" spans="1:2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</row>
    <row r="454" spans="1:2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</row>
    <row r="455" spans="1:2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</row>
    <row r="456" spans="1:2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</row>
    <row r="457" spans="1:2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</row>
    <row r="458" spans="1:2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</row>
    <row r="459" spans="1:2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</row>
    <row r="460" spans="1:2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</row>
    <row r="461" spans="1:2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</row>
    <row r="462" spans="1:2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</row>
    <row r="463" spans="1:2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</row>
    <row r="464" spans="1:21">
      <c r="A464" s="20"/>
      <c r="T464" s="20"/>
      <c r="U464" s="20"/>
    </row>
    <row r="465" spans="1:21">
      <c r="A465" s="20"/>
      <c r="T465" s="20"/>
      <c r="U465" s="20"/>
    </row>
    <row r="466" spans="1:21">
      <c r="A466" s="20"/>
      <c r="T466" s="20"/>
      <c r="U466" s="20"/>
    </row>
    <row r="467" spans="1:21">
      <c r="A467" s="20"/>
      <c r="T467" s="20"/>
      <c r="U467" s="20"/>
    </row>
    <row r="468" spans="1:21">
      <c r="A468" s="20"/>
      <c r="T468" s="20"/>
      <c r="U468" s="20"/>
    </row>
    <row r="469" spans="1:21">
      <c r="A469" s="20"/>
      <c r="T469" s="20"/>
      <c r="U469" s="20"/>
    </row>
    <row r="470" spans="1:21">
      <c r="A470" s="20"/>
      <c r="T470" s="20"/>
      <c r="U470" s="20"/>
    </row>
    <row r="471" spans="1:21">
      <c r="A471" s="20"/>
      <c r="T471" s="20"/>
      <c r="U471" s="20"/>
    </row>
    <row r="472" spans="1:21">
      <c r="A472" s="20"/>
      <c r="T472" s="20"/>
      <c r="U472" s="20"/>
    </row>
    <row r="473" spans="1:21">
      <c r="A473" s="20"/>
      <c r="T473" s="20"/>
      <c r="U473" s="20"/>
    </row>
    <row r="474" spans="1:21">
      <c r="A474" s="20"/>
      <c r="T474" s="20"/>
      <c r="U474" s="20"/>
    </row>
    <row r="475" spans="1:21">
      <c r="A475" s="20"/>
      <c r="T475" s="20"/>
      <c r="U475" s="20"/>
    </row>
    <row r="476" spans="1:21">
      <c r="A476" s="20"/>
      <c r="T476" s="20"/>
      <c r="U476" s="20"/>
    </row>
    <row r="477" spans="1:21">
      <c r="A477" s="20"/>
      <c r="T477" s="20"/>
      <c r="U477" s="20"/>
    </row>
    <row r="478" spans="1:21">
      <c r="A478" s="20"/>
      <c r="T478" s="20"/>
      <c r="U478" s="20"/>
    </row>
    <row r="479" spans="1:21">
      <c r="A479" s="20"/>
      <c r="T479" s="20"/>
      <c r="U479" s="20"/>
    </row>
    <row r="480" spans="1:21">
      <c r="A480" s="20"/>
      <c r="T480" s="20"/>
      <c r="U480" s="20"/>
    </row>
    <row r="481" spans="1:21">
      <c r="A481" s="20"/>
      <c r="T481" s="20"/>
      <c r="U481" s="20"/>
    </row>
    <row r="482" spans="1:21">
      <c r="A482" s="20"/>
      <c r="T482" s="20"/>
      <c r="U482" s="20"/>
    </row>
    <row r="483" spans="1:21">
      <c r="A483" s="20"/>
      <c r="T483" s="20"/>
      <c r="U483" s="20"/>
    </row>
    <row r="484" spans="1:21">
      <c r="A484" s="20"/>
      <c r="T484" s="20"/>
      <c r="U484" s="20"/>
    </row>
    <row r="485" spans="1:21">
      <c r="A485" s="20"/>
      <c r="T485" s="20"/>
      <c r="U485" s="20"/>
    </row>
    <row r="486" spans="1:21">
      <c r="A486" s="20"/>
      <c r="T486" s="20"/>
      <c r="U486" s="20"/>
    </row>
    <row r="487" spans="1:21">
      <c r="A487" s="20"/>
      <c r="T487" s="20"/>
      <c r="U487" s="20"/>
    </row>
  </sheetData>
  <mergeCells count="4">
    <mergeCell ref="H2:J2"/>
    <mergeCell ref="K2:M2"/>
    <mergeCell ref="N2:P2"/>
    <mergeCell ref="Q2:S2"/>
  </mergeCells>
  <conditionalFormatting sqref="C5:C59">
    <cfRule type="containsText" dxfId="0" priority="2" operator="between" text="Bloqueado">
      <formula>NOT(ISERROR(SEARCH("Bloqueado",C5)))</formula>
    </cfRule>
    <cfRule type="containsText" dxfId="1" priority="1" operator="between" text="Sin iniciar">
      <formula>NOT(ISERROR(SEARCH("Sin iniciar",C5)))</formula>
    </cfRule>
  </conditionalFormatting>
  <conditionalFormatting sqref="D4:D59">
    <cfRule type="containsText" dxfId="2" priority="26" operator="between" text="Approved">
      <formula>NOT(ISERROR(SEARCH("Approved",D4)))</formula>
    </cfRule>
    <cfRule type="containsText" dxfId="3" priority="27" operator="between" text="Needs Review">
      <formula>NOT(ISERROR(SEARCH("Needs Review",D4)))</formula>
    </cfRule>
    <cfRule type="containsText" dxfId="4" priority="28" operator="between" text="Not Started">
      <formula>NOT(ISERROR(SEARCH("Not Started",D4)))</formula>
    </cfRule>
    <cfRule type="containsText" dxfId="5" priority="29" operator="between" text="On Hold">
      <formula>NOT(ISERROR(SEARCH("On Hold",D4)))</formula>
    </cfRule>
    <cfRule type="containsText" dxfId="6" priority="30" operator="between" text="Overdue">
      <formula>NOT(ISERROR(SEARCH("Overdue",D4)))</formula>
    </cfRule>
    <cfRule type="containsText" dxfId="7" priority="31" operator="between" text="Complete">
      <formula>NOT(ISERROR(SEARCH("Complete",D4)))</formula>
    </cfRule>
    <cfRule type="containsText" dxfId="8" priority="32" operator="between" text="In Progress">
      <formula>NOT(ISERROR(SEARCH("In Progress",D4)))</formula>
    </cfRule>
  </conditionalFormatting>
  <conditionalFormatting sqref="D5:D59">
    <cfRule type="cellIs" dxfId="9" priority="18" operator="equal">
      <formula>"No Iniciado"</formula>
    </cfRule>
    <cfRule type="cellIs" dxfId="10" priority="19" operator="equal">
      <formula>"Aprobado"</formula>
    </cfRule>
    <cfRule type="cellIs" dxfId="11" priority="20" operator="equal">
      <formula>"En Espera"</formula>
    </cfRule>
    <cfRule type="cellIs" dxfId="12" priority="21" operator="equal">
      <formula>"Atrasado"</formula>
    </cfRule>
    <cfRule type="cellIs" dxfId="13" priority="22" operator="equal">
      <formula>"Aprovado"</formula>
    </cfRule>
    <cfRule type="cellIs" dxfId="14" priority="23" operator="equal">
      <formula>"Requiere Revisión"</formula>
    </cfRule>
    <cfRule type="cellIs" dxfId="15" priority="24" operator="equal">
      <formula>"En Progreso"</formula>
    </cfRule>
    <cfRule type="cellIs" dxfId="16" priority="25" operator="equal">
      <formula>"Completo"</formula>
    </cfRule>
  </conditionalFormatting>
  <conditionalFormatting sqref="S5:S60">
    <cfRule type="cellIs" dxfId="17" priority="46" operator="lessThan">
      <formula>0</formula>
    </cfRule>
    <cfRule type="cellIs" dxfId="18" priority="47" operator="greaterThan">
      <formula>0</formula>
    </cfRule>
  </conditionalFormatting>
  <dataValidations count="1">
    <dataValidation type="list" allowBlank="1" showInputMessage="1" showErrorMessage="1" sqref="D4 D5:D21 D22:D56 D57:D59 D64:D73">
      <formula1>'listas desplegables'!$F$3:$F$11</formula1>
    </dataValidation>
  </dataValidations>
  <pageMargins left="0.3" right="0.3" top="0.3" bottom="0.3" header="0" footer="0"/>
  <pageSetup paperSize="1" scale="63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:AF61"/>
  <sheetViews>
    <sheetView showGridLines="0" workbookViewId="0">
      <selection activeCell="I3" sqref="I3"/>
    </sheetView>
  </sheetViews>
  <sheetFormatPr defaultColWidth="11" defaultRowHeight="15.75"/>
  <cols>
    <col min="1" max="1" width="3.375" style="1" customWidth="1"/>
    <col min="2" max="2" width="10.875" style="1"/>
    <col min="3" max="3" width="3.375" style="1" customWidth="1"/>
    <col min="5" max="5" width="3.375" style="1" customWidth="1"/>
    <col min="6" max="6" width="12.875" customWidth="1"/>
    <col min="7" max="7" width="3.375" style="1" customWidth="1"/>
  </cols>
  <sheetData>
    <row r="1" s="1" customFormat="1" ht="42" customHeight="1" spans="1:32">
      <c r="B1" s="2" t="s">
        <v>180</v>
      </c>
      <c r="C1" s="3"/>
      <c r="D1" s="3"/>
      <c r="E1" s="3"/>
      <c r="F1" s="3"/>
      <c r="G1" s="3"/>
      <c r="H1" s="3"/>
      <c r="I1" s="3"/>
      <c r="J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24.95" customHeight="1" spans="1:32">
      <c r="A2" s="4"/>
      <c r="B2" s="5" t="s">
        <v>181</v>
      </c>
      <c r="C2" s="4"/>
      <c r="D2" s="5" t="s">
        <v>182</v>
      </c>
      <c r="E2" s="4"/>
      <c r="F2" s="5" t="s">
        <v>8</v>
      </c>
      <c r="G2" s="4"/>
    </row>
    <row r="3" ht="35.1" customHeight="1" spans="1:32">
      <c r="A3" s="4"/>
      <c r="B3" s="6" t="s">
        <v>183</v>
      </c>
      <c r="C3" s="4"/>
      <c r="D3" s="7" t="s">
        <v>184</v>
      </c>
      <c r="E3" s="4"/>
      <c r="F3" s="8" t="s">
        <v>86</v>
      </c>
      <c r="G3" s="4"/>
    </row>
    <row r="4" ht="35.1" customHeight="1" spans="1:32">
      <c r="A4" s="4"/>
      <c r="B4" s="9" t="s">
        <v>185</v>
      </c>
      <c r="C4" s="4"/>
      <c r="D4" s="10" t="s">
        <v>186</v>
      </c>
      <c r="E4" s="4"/>
      <c r="F4" s="11" t="s">
        <v>78</v>
      </c>
      <c r="G4" s="4"/>
    </row>
    <row r="5" ht="35.1" customHeight="1" spans="1:32">
      <c r="A5" s="4"/>
      <c r="C5" s="4"/>
      <c r="D5" s="12" t="s">
        <v>187</v>
      </c>
      <c r="E5" s="4"/>
      <c r="F5" s="13" t="s">
        <v>27</v>
      </c>
      <c r="G5" s="4"/>
    </row>
    <row r="6" ht="35.1" customHeight="1" spans="1:32">
      <c r="A6" s="4"/>
      <c r="C6" s="4"/>
      <c r="D6" s="14"/>
      <c r="E6" s="4"/>
      <c r="F6" s="15" t="s">
        <v>188</v>
      </c>
      <c r="G6" s="4"/>
    </row>
    <row r="7" ht="35.1" customHeight="1" spans="1:32">
      <c r="A7" s="4"/>
      <c r="C7" s="4"/>
      <c r="D7" s="14"/>
      <c r="E7" s="4"/>
      <c r="F7" s="16" t="s">
        <v>189</v>
      </c>
      <c r="G7" s="4"/>
    </row>
    <row r="8" ht="35.1" customHeight="1" spans="1:32">
      <c r="A8" s="4"/>
      <c r="C8" s="4"/>
      <c r="E8" s="4"/>
      <c r="F8" s="17" t="s">
        <v>190</v>
      </c>
      <c r="G8" s="4"/>
    </row>
    <row r="9" ht="35.1" customHeight="1" spans="1:32">
      <c r="A9" s="4"/>
      <c r="B9" s="4"/>
      <c r="C9" s="4"/>
      <c r="E9" s="4"/>
      <c r="F9" s="18" t="s">
        <v>191</v>
      </c>
      <c r="G9" s="4"/>
    </row>
    <row r="10" ht="35.1" customHeight="1" spans="1:32">
      <c r="A10" s="4"/>
      <c r="B10" s="4"/>
      <c r="C10" s="4"/>
      <c r="D10" s="14"/>
      <c r="E10" s="4"/>
      <c r="F10" s="19"/>
      <c r="G10" s="4"/>
    </row>
    <row r="11" ht="35.1" customHeight="1" spans="1:32">
      <c r="A11" s="4"/>
      <c r="B11" s="4"/>
      <c r="C11" s="4"/>
      <c r="D11" s="14"/>
      <c r="E11" s="4"/>
      <c r="F11" s="19"/>
      <c r="G11" s="4"/>
    </row>
    <row r="12" ht="16.5" spans="1:32">
      <c r="A12" s="4"/>
      <c r="B12" s="4"/>
      <c r="C12" s="4"/>
      <c r="D12" s="14"/>
      <c r="E12" s="4"/>
      <c r="F12" s="14"/>
      <c r="G12" s="4"/>
    </row>
    <row r="13" ht="16.5" spans="1:32">
      <c r="A13" s="4"/>
      <c r="B13" s="4"/>
      <c r="C13" s="4"/>
      <c r="D13" s="14"/>
      <c r="E13" s="4"/>
      <c r="F13" s="14"/>
      <c r="G13" s="4"/>
    </row>
    <row r="14" ht="16.5" spans="1:32">
      <c r="A14" s="4"/>
      <c r="B14" s="4"/>
      <c r="C14" s="4"/>
      <c r="D14" s="14"/>
      <c r="E14" s="4"/>
      <c r="F14" s="14"/>
      <c r="G14" s="4"/>
    </row>
    <row r="15" ht="16.5" spans="1:32">
      <c r="A15" s="4"/>
      <c r="B15" s="4"/>
      <c r="C15" s="4"/>
      <c r="D15" s="14"/>
      <c r="E15" s="4"/>
      <c r="F15" s="14"/>
      <c r="G15" s="4"/>
    </row>
    <row r="16" ht="16.5" spans="1:32">
      <c r="A16" s="4"/>
      <c r="B16" s="4"/>
      <c r="C16" s="4"/>
      <c r="D16" s="14"/>
      <c r="E16" s="4"/>
      <c r="F16" s="14"/>
      <c r="G16" s="4"/>
    </row>
    <row r="17" ht="16.5" spans="1:7">
      <c r="A17" s="4"/>
      <c r="B17" s="4"/>
      <c r="C17" s="4"/>
      <c r="D17" s="14"/>
      <c r="E17" s="4"/>
      <c r="G17" s="4"/>
    </row>
    <row r="18" ht="16.5" spans="1:7">
      <c r="A18" s="4"/>
      <c r="B18" s="4"/>
      <c r="C18" s="4"/>
      <c r="D18" s="14"/>
      <c r="E18" s="4"/>
      <c r="G18" s="4"/>
    </row>
    <row r="19" ht="16.5" spans="1:7">
      <c r="A19" s="4"/>
      <c r="B19" s="4"/>
      <c r="C19" s="4"/>
      <c r="D19" s="14"/>
      <c r="E19" s="4"/>
      <c r="G19" s="4"/>
    </row>
    <row r="20" ht="16.5" spans="1:7">
      <c r="A20" s="4"/>
      <c r="B20" s="4"/>
      <c r="C20" s="4"/>
      <c r="D20" s="14"/>
      <c r="E20" s="4"/>
      <c r="G20" s="4"/>
    </row>
    <row r="21" ht="16.5" spans="1:7">
      <c r="A21" s="4"/>
      <c r="B21" s="4"/>
      <c r="C21" s="4"/>
      <c r="D21" s="14"/>
      <c r="E21" s="4"/>
      <c r="G21" s="4"/>
    </row>
    <row r="22" ht="16.5" spans="1:7">
      <c r="A22" s="4"/>
      <c r="B22" s="4"/>
      <c r="C22" s="4"/>
      <c r="D22" s="14"/>
      <c r="E22" s="4"/>
      <c r="G22" s="4"/>
    </row>
    <row r="23" ht="16.5" spans="1:7">
      <c r="A23" s="4"/>
      <c r="B23" s="4"/>
      <c r="C23" s="4"/>
      <c r="D23" s="14"/>
      <c r="E23" s="4"/>
      <c r="G23" s="4"/>
    </row>
    <row r="24" ht="16.5" spans="1:7">
      <c r="A24" s="4"/>
      <c r="B24" s="4"/>
      <c r="C24" s="4"/>
      <c r="D24" s="14"/>
      <c r="E24" s="4"/>
      <c r="G24" s="4"/>
    </row>
    <row r="25" ht="16.5" spans="1:7">
      <c r="A25" s="4"/>
      <c r="B25" s="4"/>
      <c r="C25" s="4"/>
      <c r="D25" s="14"/>
      <c r="E25" s="4"/>
      <c r="G25" s="4"/>
    </row>
    <row r="26" ht="16.5" spans="1:7">
      <c r="A26" s="4"/>
      <c r="B26" s="4"/>
      <c r="C26" s="4"/>
      <c r="D26" s="14"/>
      <c r="E26" s="4"/>
      <c r="G26" s="4"/>
    </row>
    <row r="27" ht="16.5" spans="1:7">
      <c r="A27" s="4"/>
      <c r="B27" s="4"/>
      <c r="C27" s="4"/>
      <c r="D27" s="14"/>
      <c r="E27" s="4"/>
      <c r="G27" s="4"/>
    </row>
    <row r="28" ht="16.5" spans="1:7">
      <c r="A28" s="4"/>
      <c r="B28" s="4"/>
      <c r="C28" s="4"/>
      <c r="D28" s="14"/>
      <c r="E28" s="4"/>
      <c r="G28" s="4"/>
    </row>
    <row r="29" ht="16.5" spans="1:7">
      <c r="A29" s="4"/>
      <c r="B29" s="4"/>
      <c r="C29" s="4"/>
      <c r="D29" s="14"/>
      <c r="E29" s="4"/>
      <c r="G29" s="4"/>
    </row>
    <row r="30" ht="16.5" spans="1:7">
      <c r="A30" s="4"/>
      <c r="B30" s="4"/>
      <c r="C30" s="4"/>
      <c r="D30" s="14"/>
      <c r="E30" s="4"/>
      <c r="G30" s="4"/>
    </row>
    <row r="31" ht="16.5" spans="1:7">
      <c r="A31" s="4"/>
      <c r="B31" s="4"/>
      <c r="C31" s="4"/>
      <c r="D31" s="14"/>
      <c r="E31" s="4"/>
      <c r="G31" s="4"/>
    </row>
    <row r="32" ht="16.5" spans="1:7">
      <c r="A32"/>
      <c r="B32"/>
      <c r="C32"/>
      <c r="D32" s="14"/>
      <c r="E32"/>
      <c r="G32"/>
    </row>
    <row r="33" spans="1:7">
      <c r="A33" s="4"/>
      <c r="B33" s="4"/>
      <c r="C33" s="4"/>
      <c r="E33" s="4"/>
      <c r="G33" s="4"/>
    </row>
    <row r="34" spans="1:7">
      <c r="A34" s="4"/>
      <c r="B34" s="4"/>
      <c r="C34" s="4"/>
      <c r="E34" s="4"/>
      <c r="G34" s="4"/>
    </row>
    <row r="35" spans="1:7">
      <c r="A35" s="4"/>
      <c r="B35" s="4"/>
      <c r="C35" s="4"/>
      <c r="E35" s="4"/>
      <c r="G35" s="4"/>
    </row>
    <row r="36" spans="1:7">
      <c r="A36" s="4"/>
      <c r="B36" s="4"/>
      <c r="C36" s="4"/>
      <c r="E36" s="4"/>
      <c r="G36" s="4"/>
    </row>
    <row r="37" spans="1:7">
      <c r="A37" s="4"/>
      <c r="B37" s="4"/>
      <c r="C37" s="4"/>
      <c r="E37" s="4"/>
      <c r="G37" s="4"/>
    </row>
    <row r="38" spans="1:7">
      <c r="A38" s="4"/>
      <c r="B38" s="4"/>
      <c r="C38" s="4"/>
      <c r="E38" s="4"/>
      <c r="G38" s="4"/>
    </row>
    <row r="39" spans="1:7">
      <c r="A39" s="4"/>
      <c r="B39" s="4"/>
      <c r="C39" s="4"/>
      <c r="E39" s="4"/>
      <c r="G39" s="4"/>
    </row>
    <row r="40" spans="1:7">
      <c r="A40" s="4"/>
      <c r="B40" s="4"/>
      <c r="C40" s="4"/>
      <c r="E40" s="4"/>
      <c r="G40" s="4"/>
    </row>
    <row r="41" spans="1:7">
      <c r="A41" s="4"/>
      <c r="B41" s="4"/>
      <c r="C41" s="4"/>
      <c r="E41" s="4"/>
      <c r="G41" s="4"/>
    </row>
    <row r="42" spans="1:7">
      <c r="A42" s="4"/>
      <c r="B42" s="4"/>
      <c r="C42" s="4"/>
      <c r="E42" s="4"/>
      <c r="G42" s="4"/>
    </row>
    <row r="43" spans="1:7">
      <c r="A43" s="4"/>
      <c r="B43" s="4"/>
      <c r="C43" s="4"/>
      <c r="E43" s="4"/>
      <c r="G43" s="4"/>
    </row>
    <row r="44" spans="1:7">
      <c r="A44" s="4"/>
      <c r="B44" s="4"/>
      <c r="C44" s="4"/>
      <c r="E44" s="4"/>
      <c r="G44" s="4"/>
    </row>
    <row r="45" spans="1:7">
      <c r="A45" s="4"/>
      <c r="B45" s="4"/>
      <c r="C45" s="4"/>
      <c r="E45" s="4"/>
      <c r="G45" s="4"/>
    </row>
    <row r="46" spans="1:7">
      <c r="A46" s="4"/>
      <c r="B46" s="4"/>
      <c r="C46" s="4"/>
      <c r="E46" s="4"/>
      <c r="G46" s="4"/>
    </row>
    <row r="47" spans="1:7">
      <c r="A47" s="4"/>
      <c r="B47" s="4"/>
      <c r="C47" s="4"/>
      <c r="E47" s="4"/>
      <c r="G47" s="4"/>
    </row>
    <row r="48" spans="1:7">
      <c r="A48" s="4"/>
      <c r="B48" s="4"/>
      <c r="C48" s="4"/>
      <c r="E48" s="4"/>
      <c r="G48" s="4"/>
    </row>
    <row r="49" spans="1:7">
      <c r="A49" s="4"/>
      <c r="B49" s="4"/>
      <c r="C49" s="4"/>
      <c r="E49" s="4"/>
      <c r="G49" s="4"/>
    </row>
    <row r="50" spans="1:7">
      <c r="A50" s="4"/>
      <c r="B50" s="4"/>
      <c r="C50" s="4"/>
      <c r="E50" s="4"/>
      <c r="G50" s="4"/>
    </row>
    <row r="51" spans="1:7">
      <c r="A51" s="4"/>
      <c r="B51" s="4"/>
      <c r="C51" s="4"/>
      <c r="E51" s="4"/>
      <c r="G51" s="4"/>
    </row>
    <row r="52" spans="1:7">
      <c r="A52" s="4"/>
      <c r="B52" s="4"/>
      <c r="C52" s="4"/>
      <c r="E52" s="4"/>
      <c r="G52" s="4"/>
    </row>
    <row r="53" spans="1:7">
      <c r="A53" s="4"/>
      <c r="B53" s="4"/>
      <c r="C53" s="4"/>
      <c r="E53" s="4"/>
      <c r="G53" s="4"/>
    </row>
    <row r="54" spans="1:7">
      <c r="A54" s="4"/>
      <c r="B54" s="4"/>
      <c r="C54" s="4"/>
      <c r="E54" s="4"/>
      <c r="G54" s="4"/>
    </row>
    <row r="55" spans="1:7">
      <c r="A55" s="4"/>
      <c r="B55" s="4"/>
      <c r="C55" s="4"/>
      <c r="E55" s="4"/>
      <c r="G55" s="4"/>
    </row>
    <row r="56" spans="1:7">
      <c r="A56" s="4"/>
      <c r="B56" s="4"/>
      <c r="C56" s="4"/>
      <c r="E56" s="4"/>
      <c r="G56" s="4"/>
    </row>
    <row r="57" spans="1:7">
      <c r="A57" s="4"/>
      <c r="B57" s="4"/>
      <c r="C57" s="4"/>
      <c r="E57" s="4"/>
      <c r="G57" s="4"/>
    </row>
    <row r="58" spans="1:7">
      <c r="A58" s="4"/>
      <c r="B58" s="4"/>
      <c r="C58" s="4"/>
      <c r="E58" s="4"/>
      <c r="G58" s="4"/>
    </row>
    <row r="59" spans="1:7">
      <c r="A59" s="4"/>
      <c r="B59" s="4"/>
      <c r="C59" s="4"/>
      <c r="E59" s="4"/>
      <c r="G59" s="4"/>
    </row>
    <row r="60" spans="1:7">
      <c r="A60" s="4"/>
      <c r="B60" s="4"/>
      <c r="C60" s="4"/>
      <c r="E60" s="4"/>
      <c r="G60" s="4"/>
    </row>
    <row r="61" spans="1:7">
      <c r="A61" s="4"/>
      <c r="B61" s="4"/>
      <c r="C61" s="4"/>
      <c r="E61" s="4"/>
      <c r="G61" s="4"/>
    </row>
  </sheetData>
  <conditionalFormatting sqref="D3:D5">
    <cfRule type="containsText" dxfId="19" priority="9" operator="between" text="Low">
      <formula>NOT(ISERROR(SEARCH("Low",D3)))</formula>
    </cfRule>
    <cfRule type="containsText" dxfId="20" priority="10" operator="between" text="Medium">
      <formula>NOT(ISERROR(SEARCH("Medium",D3)))</formula>
    </cfRule>
    <cfRule type="containsText" dxfId="21" priority="11" operator="between" text="High">
      <formula>NOT(ISERROR(SEARCH("High",D3)))</formula>
    </cfRule>
  </conditionalFormatting>
  <conditionalFormatting sqref="F3:F11">
    <cfRule type="containsText" dxfId="2" priority="8" operator="between" text="Approved">
      <formula>NOT(ISERROR(SEARCH("Approved",F3)))</formula>
    </cfRule>
    <cfRule type="containsText" dxfId="3" priority="12" operator="between" text="Needs Review">
      <formula>NOT(ISERROR(SEARCH("Needs Review",F3)))</formula>
    </cfRule>
    <cfRule type="containsText" dxfId="4" priority="13" operator="between" text="Not Started">
      <formula>NOT(ISERROR(SEARCH("Not Started",F3)))</formula>
    </cfRule>
    <cfRule type="containsText" dxfId="5" priority="14" operator="between" text="On Hold">
      <formula>NOT(ISERROR(SEARCH("On Hold",F3)))</formula>
    </cfRule>
    <cfRule type="containsText" dxfId="6" priority="15" operator="between" text="Overdue">
      <formula>NOT(ISERROR(SEARCH("Overdue",F3)))</formula>
    </cfRule>
    <cfRule type="containsText" dxfId="7" priority="16" operator="between" text="Complete">
      <formula>NOT(ISERROR(SEARCH("Complete",F3)))</formula>
    </cfRule>
    <cfRule type="containsText" dxfId="8" priority="17" operator="between" text="In Progress">
      <formula>NOT(ISERROR(SEARCH("In Progress",F3)))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Smartsheet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Presupuesto del proyecto</vt:lpstr>
      <vt:lpstr>listas desplegables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salas</cp:lastModifiedBy>
  <dcterms:created xsi:type="dcterms:W3CDTF">2015-08-28T20:34:00Z</dcterms:created>
  <cp:lastPrinted>2022-01-31T23:51:00Z</cp:lastPrinted>
  <dcterms:modified xsi:type="dcterms:W3CDTF">2026-08-28T21:53:06Z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22097F29D9A34AD596B6F3BFB9F06CB5_12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