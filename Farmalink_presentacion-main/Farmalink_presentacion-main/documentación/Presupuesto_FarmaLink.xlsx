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812568-44A1-4393-96ED-3E6A687F6CF3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Resumen Presupuestal" sheetId="1" r:id="rId1"/>
    <sheet name="Detalle de Costos" sheetId="2" r:id="rId2"/>
    <sheet name="Flujo de Caja por Spri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2" l="1"/>
  <c r="C52" i="2"/>
  <c r="C51" i="2"/>
  <c r="C54" i="2" s="1"/>
  <c r="C48" i="2"/>
  <c r="C47" i="2"/>
  <c r="C46" i="2"/>
  <c r="C45" i="2"/>
  <c r="C44" i="2"/>
  <c r="C49" i="2" s="1"/>
  <c r="C41" i="2"/>
  <c r="C42" i="2" s="1"/>
  <c r="C40" i="2"/>
  <c r="C39" i="2"/>
  <c r="C38" i="2"/>
  <c r="C37" i="2"/>
  <c r="C34" i="2"/>
  <c r="C33" i="2"/>
  <c r="C32" i="2"/>
  <c r="C31" i="2"/>
  <c r="C30" i="2"/>
  <c r="C29" i="2"/>
  <c r="C28" i="2"/>
  <c r="C35" i="2" s="1"/>
  <c r="C25" i="2"/>
  <c r="C24" i="2"/>
  <c r="C23" i="2"/>
  <c r="C22" i="2"/>
  <c r="C21" i="2"/>
  <c r="C20" i="2"/>
  <c r="C19" i="2"/>
  <c r="C26" i="2" s="1"/>
  <c r="C16" i="2"/>
  <c r="C15" i="2"/>
  <c r="C14" i="2"/>
  <c r="C13" i="2"/>
  <c r="C12" i="2"/>
  <c r="C11" i="2"/>
  <c r="C10" i="2"/>
  <c r="C9" i="2"/>
  <c r="C8" i="2"/>
  <c r="C7" i="2"/>
  <c r="C6" i="2"/>
  <c r="C5" i="2"/>
  <c r="C17" i="2" s="1"/>
  <c r="E8" i="3" l="1"/>
  <c r="C8" i="3"/>
  <c r="C8" i="1"/>
  <c r="D8" i="3"/>
  <c r="B8" i="3"/>
  <c r="I8" i="3"/>
  <c r="H8" i="3"/>
  <c r="F8" i="3"/>
  <c r="G8" i="3"/>
  <c r="D9" i="3"/>
  <c r="C9" i="1"/>
  <c r="C9" i="3"/>
  <c r="B9" i="3"/>
  <c r="I9" i="3"/>
  <c r="E9" i="3"/>
  <c r="H9" i="3"/>
  <c r="G9" i="3"/>
  <c r="F9" i="3"/>
  <c r="G6" i="3"/>
  <c r="E6" i="3"/>
  <c r="D6" i="3"/>
  <c r="C6" i="3"/>
  <c r="B6" i="3"/>
  <c r="C6" i="1"/>
  <c r="H6" i="3"/>
  <c r="I6" i="3"/>
  <c r="F6" i="3"/>
  <c r="I4" i="3"/>
  <c r="C60" i="2"/>
  <c r="G4" i="3"/>
  <c r="E57" i="2"/>
  <c r="C57" i="2" s="1"/>
  <c r="C4" i="1"/>
  <c r="F4" i="3"/>
  <c r="E4" i="3"/>
  <c r="E56" i="2"/>
  <c r="C56" i="2" s="1"/>
  <c r="C58" i="2" s="1"/>
  <c r="H4" i="3"/>
  <c r="D4" i="3"/>
  <c r="C4" i="3"/>
  <c r="B4" i="3"/>
  <c r="H5" i="3"/>
  <c r="C5" i="1"/>
  <c r="G5" i="3"/>
  <c r="F5" i="3"/>
  <c r="E5" i="3"/>
  <c r="D5" i="3"/>
  <c r="C5" i="3"/>
  <c r="B5" i="3"/>
  <c r="I5" i="3"/>
  <c r="F7" i="3"/>
  <c r="E7" i="3"/>
  <c r="D7" i="3"/>
  <c r="C7" i="3"/>
  <c r="C7" i="1"/>
  <c r="B7" i="3"/>
  <c r="I7" i="3"/>
  <c r="H7" i="3"/>
  <c r="G7" i="3"/>
  <c r="J8" i="3" l="1"/>
  <c r="J9" i="3"/>
  <c r="J7" i="3"/>
  <c r="I11" i="3"/>
  <c r="E11" i="3"/>
  <c r="C11" i="3"/>
  <c r="C10" i="3"/>
  <c r="I10" i="3"/>
  <c r="H10" i="3"/>
  <c r="H11" i="3" s="1"/>
  <c r="G10" i="3"/>
  <c r="G11" i="3" s="1"/>
  <c r="D10" i="3"/>
  <c r="B10" i="3"/>
  <c r="B11" i="3" s="1"/>
  <c r="B12" i="3" s="1"/>
  <c r="C12" i="3" s="1"/>
  <c r="D12" i="3" s="1"/>
  <c r="E12" i="3" s="1"/>
  <c r="F12" i="3" s="1"/>
  <c r="G12" i="3" s="1"/>
  <c r="H12" i="3" s="1"/>
  <c r="I12" i="3" s="1"/>
  <c r="J12" i="3" s="1"/>
  <c r="F10" i="3"/>
  <c r="F11" i="3" s="1"/>
  <c r="E10" i="3"/>
  <c r="C10" i="1"/>
  <c r="C11" i="1" s="1"/>
  <c r="J5" i="3"/>
  <c r="J4" i="3"/>
  <c r="D11" i="3"/>
  <c r="J6" i="3"/>
  <c r="J10" i="3" l="1"/>
  <c r="J11" i="3" s="1"/>
  <c r="D8" i="1"/>
  <c r="D4" i="1"/>
  <c r="D6" i="1"/>
  <c r="D7" i="1"/>
  <c r="D9" i="1"/>
  <c r="D5" i="1"/>
  <c r="D10" i="1"/>
  <c r="D11" i="1" l="1"/>
</calcChain>
</file>

<file path=xl/sharedStrings.xml><?xml version="1.0" encoding="utf-8"?>
<sst xmlns="http://schemas.openxmlformats.org/spreadsheetml/2006/main" count="229" uniqueCount="178">
  <si>
    <t>PROYECTO FARMALINK - PRESUPUESTO GENERAL CORPORATIVO</t>
  </si>
  <si>
    <t>N°</t>
  </si>
  <si>
    <t>Rubro / Categoría Presupuestal</t>
  </si>
  <si>
    <t>Subtotal Estimado (COP)</t>
  </si>
  <si>
    <t>% Participación</t>
  </si>
  <si>
    <t>Alcance y Descripción Estratégica</t>
  </si>
  <si>
    <t>1. Talento Humano y Consultoría de Ingeniería de Software</t>
  </si>
  <si>
    <t>Equipo de desarrollo senior, arquitectura, gestión PMO, QA y DBA (3.5 meses / 14 semanas)</t>
  </si>
  <si>
    <t>2. Infraestructura Cloud Empresarial y Alta Disponibilidad</t>
  </si>
  <si>
    <t>Cluster Kubernetes, Multi-AZ DB PostgreSQL con Réplica, Redis Cache, AWS WAF, S3 y CDN</t>
  </si>
  <si>
    <t>3. Licenciamiento, APIs de Servicios y Herramientas DevOps</t>
  </si>
  <si>
    <t>Google Maps Enterprise Plan (Directions/Places), CI/CD GitHub Enterprise, Datadog y Figma Org</t>
  </si>
  <si>
    <t>4. Auditoría de Seguridad, Cumplimiento y Pruebas Especializadas</t>
  </si>
  <si>
    <t>Pentesting de caja negra/blanca, análisis estático SonarQube, pruebas de carga (JMeter) y Habeas Data</t>
  </si>
  <si>
    <t>5. Operaciones de Campo, Georreferenciación y Despliegue Piloto</t>
  </si>
  <si>
    <t>Levantamiento presencial de 100+ farmacias, digitalización de inventarios, pruebas en campo y UX Lab</t>
  </si>
  <si>
    <t>6. Gestión Jurídica, Propiedad Intelectual y Asesoría Legal</t>
  </si>
  <si>
    <t>Registro de software en DNDA, términos y condiciones de pasarela de compra, contratos de datos</t>
  </si>
  <si>
    <t>7. Reserva de Contingencia y Gestión de Riesgos (10%)</t>
  </si>
  <si>
    <t>Fondo para amortiguar fluctuaciones de consumo de APIs, escalabilidad e imprevistos técnicos</t>
  </si>
  <si>
    <t>PRESUPUESTO TOTAL ESTIMADO DEL PROYECTO</t>
  </si>
  <si>
    <t>DESGLOSE DETALLADO DE COSTOS Y HONORARIOS PROFESIONALES - FARMALINK</t>
  </si>
  <si>
    <t>Ítem / Concepto</t>
  </si>
  <si>
    <t>Unidad</t>
  </si>
  <si>
    <t>Costo Total (COP)</t>
  </si>
  <si>
    <t>Cantidad / Meses</t>
  </si>
  <si>
    <t>Tarifa Mensual / Unitaria (COP)</t>
  </si>
  <si>
    <t>Responsable / Rol</t>
  </si>
  <si>
    <t>Observaciones y Especificación Técnica</t>
  </si>
  <si>
    <t>1. TALENTO HUMANO Y CONSULTORÍA DE INGENIERÍA DE SOFTWARE (14 SEMANAS / 3.5 MESES)</t>
  </si>
  <si>
    <t>Director de Proyecto / Project Manager (PMP/Scrum Master)</t>
  </si>
  <si>
    <t>Mes</t>
  </si>
  <si>
    <t>Sergio Andrés Merchán Rozo</t>
  </si>
  <si>
    <t>Gestión integral del proyecto, gobierno Scrum, control de hitos, riesgos y entregas</t>
  </si>
  <si>
    <t>Arquitecto de Software Senior</t>
  </si>
  <si>
    <t>Juan David Cardozo Prada</t>
  </si>
  <si>
    <t>Diseño de microservicios/monolito modular, patrones de concurrencia y escalabilidad</t>
  </si>
  <si>
    <t>Especialista Cloud &amp; DevOps Engineer</t>
  </si>
  <si>
    <t>Infraestructura como código (Terraform), pipelines CI/CD, clusters Docker/K8s y monitoreo</t>
  </si>
  <si>
    <t>Líder de Base de Datos y DBA</t>
  </si>
  <si>
    <t>Julián Santiago Ayala Méndez</t>
  </si>
  <si>
    <t>Modelado relacional PostgreSQL, indexación geoespacial PostGIS, particionamiento e integridad</t>
  </si>
  <si>
    <t>Analista de Negocio y Requisitos de Software</t>
  </si>
  <si>
    <t>Levantamiento de especificaciones SRS, modelado de procesos BPMN y validación de reglas de negocio</t>
  </si>
  <si>
    <t>Desarrollador Backend Senior (Core &amp; APIs)</t>
  </si>
  <si>
    <t>José Santiago Soler Siza</t>
  </si>
  <si>
    <t>Desarrollo de API RESTful, motor de búsqueda, comparador de precios y transacciones de compra</t>
  </si>
  <si>
    <t>Desarrollador Backend Semi-Senior (Integraciones)</t>
  </si>
  <si>
    <t>Equipo Backend FarmaLink</t>
  </si>
  <si>
    <t>Integración con API de georreferenciación, pasarela de pago y servicios externos</t>
  </si>
  <si>
    <t>Líder de Desarrollo Frontend Senior</t>
  </si>
  <si>
    <t>Haiver Darío Daza Cerdas</t>
  </si>
  <si>
    <t>Arquitectura frontend (React/Next.js), consumo de APIs, estado global y rendimiento web</t>
  </si>
  <si>
    <t>Diseñador UI/UX y Product Designer</t>
  </si>
  <si>
    <t>Design system, prototipado interactivo de alta fidelidad, usabilidad y pruebas heurísticas</t>
  </si>
  <si>
    <t>Ingeniero de Calidad y Pruebas QA Lead</t>
  </si>
  <si>
    <t>Gabriel Mateo Contreras Toquica</t>
  </si>
  <si>
    <t>Automatización de pruebas E2E (Cypress/Selenium), pruebas de integración y matrices de prueba</t>
  </si>
  <si>
    <t>Ingeniero QA Junior / Tester Funcional</t>
  </si>
  <si>
    <t>Ejecución de pruebas manuales, cross-browser, responsive design y reporte de defectos</t>
  </si>
  <si>
    <t>Documentador y Redactor Técnico Senior</t>
  </si>
  <si>
    <t>Diego Alexander López Arévalo</t>
  </si>
  <si>
    <t>Manuales técnicos, guías de usuario final, documentación de APIs Swagger y actas PMBOK</t>
  </si>
  <si>
    <t>SUBTOTAL TALENTO HUMANO Y CONSULTORÍA</t>
  </si>
  <si>
    <t>2. INFRAESTRUCTURA CLOUD EMPRESARIAL Y ALTA DISPONIBILIDAD</t>
  </si>
  <si>
    <t>Cluster de Cómputo Cloud (Kubernetes / Multi-Instancias)</t>
  </si>
  <si>
    <t>Juan David Cardozo</t>
  </si>
  <si>
    <t>Cluster cloud redundante de alta disponibilidad (8 vCPU, 32GB RAM, auto-escalado)</t>
  </si>
  <si>
    <t>Servicio Cloud de Base de Datos PostgreSQL Multi-AZ</t>
  </si>
  <si>
    <t>Julián Santiago Ayala</t>
  </si>
  <si>
    <t>Instancia gestionada con réplica de lectura, soporte PostGIS, backups diarios y failover</t>
  </si>
  <si>
    <t>Servidor de Cache en Memoria (Redis Enterprise)</t>
  </si>
  <si>
    <t>Santiago Soler</t>
  </si>
  <si>
    <t>Caché de alta velocidad para optimizar consultas frecuentes de precios y farmacias</t>
  </si>
  <si>
    <t>Almacenamiento de Objetos S3 / Blob Storage &amp; CDN</t>
  </si>
  <si>
    <t>Distribución global de assets (fotos de fármacos) mediante CloudFront CDN</t>
  </si>
  <si>
    <t>Firewall de Aplicaciones Web (AWS WAF) &amp; Protección DDoS</t>
  </si>
  <si>
    <t>Reglas OWASP Top 10, rate limiting y protección contra ataques automatizados</t>
  </si>
  <si>
    <t>Certificados SSL / TLS Empresariales EV &amp; Dominio</t>
  </si>
  <si>
    <t>Global</t>
  </si>
  <si>
    <t>Sergio Merchán</t>
  </si>
  <si>
    <t>Certificado de Validación Extendida para transacciones seguras y dominios corporativos</t>
  </si>
  <si>
    <t>Ambientes Redundantes de Staging / Testing y Sandbox</t>
  </si>
  <si>
    <t>Infraestructura aislada para homologación y pruebas de QA</t>
  </si>
  <si>
    <t>SUBTOTAL INFRAESTRUCTURA CLOUD</t>
  </si>
  <si>
    <t>3. LICENCIAMIENTO, APIS DE SERVICIOS Y HERRAMIENTAS DEVOPS</t>
  </si>
  <si>
    <t>Google Maps Platform API Enterprise (Directions/Places/Geocoding)</t>
  </si>
  <si>
    <t>Santiago Soler / Juan Cardozo</t>
  </si>
  <si>
    <t>Paquete para alto volumen de geocodificación, render de mapas y cálculo de rutas óptimas</t>
  </si>
  <si>
    <t>Plataforma de Observabilidad y Monitoreo APM (Datadog / Sentry)</t>
  </si>
  <si>
    <t>Monitoreo en tiempo real de endpoints, rastreo de trazas distribuidas y alertas</t>
  </si>
  <si>
    <t>Suite de Gestión Ágil y Documentación (Jira / Confluence Enterprise)</t>
  </si>
  <si>
    <t>Sergio Andrés Merchán</t>
  </si>
  <si>
    <t>Control de épicas, historias de usuario, sprints, tableros Kanban y artefactos</t>
  </si>
  <si>
    <t>Plataforma de Diseño Colaborativo Figma Organization</t>
  </si>
  <si>
    <t>Haiver Darío Daza</t>
  </si>
  <si>
    <t>Gestión de librerías de componentes UI, design tokens y prototipos interactivos</t>
  </si>
  <si>
    <t>GitHub Enterprise Cloud &amp; Runners Dedicados de CI/CD</t>
  </si>
  <si>
    <t>Repositorio corporativo con análisis de código, escaneo de dependencias y pipelines</t>
  </si>
  <si>
    <t>Servicios Transaccionales de Notificaciones (Twilio / SendGrid)</t>
  </si>
  <si>
    <t>Envío de códigos OTP de seguridad, confirmaciones de compra y alertas de cambio de precios</t>
  </si>
  <si>
    <t>Licenciamiento de Herramientas de Modelado de BD y Arquitectura</t>
  </si>
  <si>
    <t>Julián Ayala / Juan Cardozo</t>
  </si>
  <si>
    <t>Software profesional para diseño DER (DataGrip/Enterprise Architect)</t>
  </si>
  <si>
    <t>SUBTOTAL LICENCIAS, APIS Y HERRAMIENTAS</t>
  </si>
  <si>
    <t>4. AUDITORÍA DE SEGURIDAD, CUMPLIMIENTO Y PRUEBAS ESPECIALIZADAS</t>
  </si>
  <si>
    <t>Auditoría de Ciberseguridad Externa y Ethical Hacking (Pentesting)</t>
  </si>
  <si>
    <t>Gabriel Contreras / Consultor Externo</t>
  </si>
  <si>
    <t>Pruebas de penetración sobre APIs, inyecciones SQL, autenticación y sesión</t>
  </si>
  <si>
    <t>Análisis Estático de Código Fuente y Vulnerabilidades (SAST/DAST)</t>
  </si>
  <si>
    <t>Gabriel Mateo Contreras</t>
  </si>
  <si>
    <t>Escaneo automatizado con SonarQube Enterprise para deuda técnica y seguridad</t>
  </si>
  <si>
    <t>Pruebas de Estrés, Concurrencia y Rendimiento (Load Testing)</t>
  </si>
  <si>
    <t>Gabriel Contreras / Juan Cardozo</t>
  </si>
  <si>
    <t>Simulación de 10.000 usuarios concurrentes mediante JMeter/k6 y pruebas de cuello de botella</t>
  </si>
  <si>
    <t>Auditoría y Certificación de Cumplimiento de Datos (Habeas Data)</t>
  </si>
  <si>
    <t>Julián Ayala / Diego López</t>
  </si>
  <si>
    <t>Verificación del cumplimiento de la Ley 1581 de 2012 para manejo de datos de usuarios</t>
  </si>
  <si>
    <t>Laboratorio de Pruebas de Usabilidad con Usuarios Reales</t>
  </si>
  <si>
    <t>Haiver Daza / Gabriel Contreras</t>
  </si>
  <si>
    <t>Sesiones grabadas con usuarios finales para evaluar curva de aprendizaje y accesibilidad</t>
  </si>
  <si>
    <t>SUBTOTAL AUDITORÍA, SEGURIDAD Y PRUEBAS</t>
  </si>
  <si>
    <t>5. OPERACIONES DE CAMPO, GEORREFERENCIACIÓN Y DESPLIEGUE PILOTO</t>
  </si>
  <si>
    <t>Levantamiento Presencial y Censo en Farmacias (Campaña Bogotá)</t>
  </si>
  <si>
    <t>Diego López / Julián Ayala</t>
  </si>
  <si>
    <t>Visitas técnicas a más de 100 establecimientos para validación física de stock y precios</t>
  </si>
  <si>
    <t>Georreferenciación Precisa de Coordenadas y Polígonos de Acceso</t>
  </si>
  <si>
    <t>Diego López / Juan Cardozo</t>
  </si>
  <si>
    <t>Toma de datos GPS de campo y validación de puntos de entrada de cada comercio</t>
  </si>
  <si>
    <t>Digitalización, Estandarización y Carga Inicial de Catálogo de Fármacos</t>
  </si>
  <si>
    <t>Normalización de principios activos, presentaciones, dosis y fotos de medicamentos</t>
  </si>
  <si>
    <t>Kit de Capacitación y Onboarding para Comercios Farmacéuticos</t>
  </si>
  <si>
    <t>Sergio Merchán / Diego López</t>
  </si>
  <si>
    <t>Material interactivo, manuales operativos y sesiones de inducción a farmacéuticos</t>
  </si>
  <si>
    <t>Material Corporativo, Presentaciones Ejecutivas y Actas PMBOK</t>
  </si>
  <si>
    <t>Diego Alexander López</t>
  </si>
  <si>
    <t>Diseño e impresión de memorias técnicas, informes de avance para comités y entregables</t>
  </si>
  <si>
    <t>SUBTOTAL OPERACIONES DE CAMPO Y PILOTO</t>
  </si>
  <si>
    <t>6. GESTIÓN JURÍDICA, PROPIEDAD INTELECTUAL Y ASESORÍA LEGAL</t>
  </si>
  <si>
    <t>Registro de Derechos de Autor y Software ante la DNDA</t>
  </si>
  <si>
    <t>Trámite formal de protección de propiedad intelectual y código fuente ante la Dirección Nacional</t>
  </si>
  <si>
    <t>Redacción de Términos y Condiciones, Políticas de Compra y Privacidad</t>
  </si>
  <si>
    <t>Consultoría Legal Externa</t>
  </si>
  <si>
    <t>Estructuración legal de pasarela de compra, exoneración médica y políticas de devolución</t>
  </si>
  <si>
    <t>Contratos de Alianza y Confidencialidad (NDA) con Cadenas Farmacéuticas</t>
  </si>
  <si>
    <t>Estandarización de acuerdos de tratamiento de datos comerciales con farmacias asociadas</t>
  </si>
  <si>
    <t>SUBTOTAL GESTIÓN JURÍDICA Y LEGAL</t>
  </si>
  <si>
    <t>7. RESERVA DE CONTINGENCIA Y GESTIÓN DE RIESGOS (10%)</t>
  </si>
  <si>
    <t>Fondo de Contingencia para Riesgos Técnicos y de Conectividad</t>
  </si>
  <si>
    <t>%</t>
  </si>
  <si>
    <t>Sergio Merchán / Claudia Cifuentes</t>
  </si>
  <si>
    <t>Mitigación de riesgos de integración, latencia de APIs y picos imprevistos de tráfico</t>
  </si>
  <si>
    <t>Fondo de Contingencia Operativa y Validación de Inventarios</t>
  </si>
  <si>
    <t>Sergio Merchán / Julián Ayala</t>
  </si>
  <si>
    <t>Amortiguación ante inconsistencias en precios/stock reportadas por farmacias</t>
  </si>
  <si>
    <t>SUBTOTAL RESERVA DE CONTINGENCIA</t>
  </si>
  <si>
    <t>TOTAL GENERAL DEL PROYECTO (COP)</t>
  </si>
  <si>
    <t>PROYECCIÓN DE FLUJO DE CAJA Y DISTRIBUCIÓN POR SPRINT</t>
  </si>
  <si>
    <t>Rubro Presupuestal</t>
  </si>
  <si>
    <t>Sprint 0
(12-19 Ago)</t>
  </si>
  <si>
    <t>Sprint 1
(19 Ago-02 Sep)</t>
  </si>
  <si>
    <t>Sprint 2
(02-16 Sep)</t>
  </si>
  <si>
    <t>Sprint 3
(16-30 Sep)</t>
  </si>
  <si>
    <t>Sprint 4
(30 Sep-14 Oct)</t>
  </si>
  <si>
    <t>Sprint 5
(14-28 Oct)</t>
  </si>
  <si>
    <t>Sprint 6
(28 Oct-11 Nov)</t>
  </si>
  <si>
    <t>Sprint 7
(11-18 Nov)</t>
  </si>
  <si>
    <t>Total Rubro</t>
  </si>
  <si>
    <t>1. Talento Humano</t>
  </si>
  <si>
    <t>2. Infraestructura Cloud</t>
  </si>
  <si>
    <t>3. Licenciamiento y APIs</t>
  </si>
  <si>
    <t>4. Seguridad y Auditorías</t>
  </si>
  <si>
    <t>5. Operaciones y Campo</t>
  </si>
  <si>
    <t>6. Gestión Jurídica / Legal</t>
  </si>
  <si>
    <t>7. Reserva Contingencia</t>
  </si>
  <si>
    <t>DESEMBOLSO POR SPRINT</t>
  </si>
  <si>
    <t>COSTO ACUMULADO</t>
  </si>
  <si>
    <t>Inversión para ciclo de vida 14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</si>
</sst>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0F3B2E"/>
      <name val="Calibri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F3B2E"/>
      </patternFill>
    </fill>
    <fill>
      <patternFill patternType="solid">
        <fgColor rgb="FFE5F0EC"/>
      </patternFill>
    </fill>
    <fill>
      <patternFill patternType="solid">
        <fgColor rgb="FFD3E4DC"/>
      </patternFill>
    </fill>
    <fill>
      <patternFill patternType="solid">
        <fgColor rgb="FF1B365D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0" fontId="0" fillId="4" borderId="1" xfId="0" applyFill="1" applyBorder="1"/>
    <xf numFmtId="164" fontId="4" fillId="4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9" fillId="2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/>
    </xf>
    <xf numFmtId="164" fontId="10" fillId="4" borderId="1" xfId="0" applyNumberFormat="1" applyFont="1" applyFill="1" applyBorder="1" applyAlignment="1">
      <alignment horizontal="right" vertical="center"/>
    </xf>
    <xf numFmtId="0" fontId="0" fillId="0" borderId="0" xfId="0"/>
    <xf numFmtId="0" fontId="5" fillId="2" borderId="1" xfId="0" applyFont="1" applyFill="1" applyBorder="1" applyAlignment="1">
      <alignment horizontal="right" vertical="center"/>
    </xf>
    <xf numFmtId="0" fontId="0" fillId="0" borderId="1" xfId="0" applyBorder="1"/>
    <xf numFmtId="0" fontId="7" fillId="3" borderId="0" xfId="0" applyFont="1" applyFill="1"/>
    <xf numFmtId="0" fontId="4" fillId="4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6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6.28515625" customWidth="1"/>
    <col min="2" max="2" width="67" customWidth="1"/>
    <col min="3" max="3" width="20" customWidth="1"/>
    <col min="4" max="4" width="14.42578125" customWidth="1"/>
    <col min="5" max="5" width="83.28515625" customWidth="1"/>
  </cols>
  <sheetData>
    <row r="1" spans="1:5" ht="39.950000000000003" customHeight="1" x14ac:dyDescent="0.25">
      <c r="A1" s="27" t="s">
        <v>0</v>
      </c>
      <c r="B1" s="20"/>
      <c r="C1" s="20"/>
      <c r="D1" s="20"/>
      <c r="E1" s="20"/>
    </row>
    <row r="2" spans="1:5" ht="21.95" customHeight="1" x14ac:dyDescent="0.25"/>
    <row r="3" spans="1:5" ht="30" x14ac:dyDescent="0.25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</row>
    <row r="4" spans="1:5" ht="27.95" customHeight="1" x14ac:dyDescent="0.25">
      <c r="A4" s="2">
        <v>1</v>
      </c>
      <c r="B4" s="3" t="s">
        <v>6</v>
      </c>
      <c r="C4" s="4">
        <f>'Detalle de Costos'!C17</f>
        <v>296450000</v>
      </c>
      <c r="D4" s="5">
        <f>'Detalle de Costos'!C17/$C$11</f>
        <v>0.71311388653683316</v>
      </c>
      <c r="E4" s="6" t="s">
        <v>7</v>
      </c>
    </row>
    <row r="5" spans="1:5" ht="21.95" customHeight="1" x14ac:dyDescent="0.25">
      <c r="A5" s="2">
        <v>2</v>
      </c>
      <c r="B5" s="3" t="s">
        <v>8</v>
      </c>
      <c r="C5" s="4">
        <f>'Detalle de Costos'!C26</f>
        <v>25175000</v>
      </c>
      <c r="D5" s="5">
        <f>'Detalle de Costos'!C26/$C$11</f>
        <v>6.0558752213070589E-2</v>
      </c>
      <c r="E5" s="6" t="s">
        <v>9</v>
      </c>
    </row>
    <row r="6" spans="1:5" ht="21.95" customHeight="1" x14ac:dyDescent="0.25">
      <c r="A6" s="2">
        <v>3</v>
      </c>
      <c r="B6" s="3" t="s">
        <v>10</v>
      </c>
      <c r="C6" s="4">
        <f>'Detalle de Costos'!C35</f>
        <v>17195000</v>
      </c>
      <c r="D6" s="5">
        <f>'Detalle de Costos'!C35/$C$11</f>
        <v>4.1362770379493492E-2</v>
      </c>
      <c r="E6" s="6" t="s">
        <v>11</v>
      </c>
    </row>
    <row r="7" spans="1:5" ht="21.95" customHeight="1" x14ac:dyDescent="0.25">
      <c r="A7" s="2">
        <v>4</v>
      </c>
      <c r="B7" s="3" t="s">
        <v>12</v>
      </c>
      <c r="C7" s="4">
        <f>'Detalle de Costos'!C42</f>
        <v>18800000</v>
      </c>
      <c r="D7" s="5">
        <f>'Detalle de Costos'!C42/$C$11</f>
        <v>4.5223616349780615E-2</v>
      </c>
      <c r="E7" s="6" t="s">
        <v>13</v>
      </c>
    </row>
    <row r="8" spans="1:5" ht="21.95" customHeight="1" x14ac:dyDescent="0.25">
      <c r="A8" s="2">
        <v>5</v>
      </c>
      <c r="B8" s="3" t="s">
        <v>14</v>
      </c>
      <c r="C8" s="4">
        <f>'Detalle de Costos'!C49</f>
        <v>13700000</v>
      </c>
      <c r="D8" s="5">
        <f>'Detalle de Costos'!C49/$C$11</f>
        <v>3.295550765914864E-2</v>
      </c>
      <c r="E8" s="6" t="s">
        <v>15</v>
      </c>
    </row>
    <row r="9" spans="1:5" ht="21.95" customHeight="1" x14ac:dyDescent="0.25">
      <c r="A9" s="2">
        <v>6</v>
      </c>
      <c r="B9" s="3" t="s">
        <v>16</v>
      </c>
      <c r="C9" s="4">
        <f>'Detalle de Costos'!C54</f>
        <v>6600000</v>
      </c>
      <c r="D9" s="5">
        <f>'Detalle de Costos'!C54/$C$11</f>
        <v>1.5876375952582556E-2</v>
      </c>
      <c r="E9" s="6" t="s">
        <v>17</v>
      </c>
    </row>
    <row r="10" spans="1:5" ht="21.95" customHeight="1" x14ac:dyDescent="0.25">
      <c r="A10" s="2">
        <v>7</v>
      </c>
      <c r="B10" s="3" t="s">
        <v>18</v>
      </c>
      <c r="C10" s="4">
        <f>'Detalle de Costos'!C58</f>
        <v>37792000</v>
      </c>
      <c r="D10" s="5">
        <f>'Detalle de Costos'!C58/$C$11</f>
        <v>9.0909090909090912E-2</v>
      </c>
      <c r="E10" s="6" t="s">
        <v>19</v>
      </c>
    </row>
    <row r="11" spans="1:5" ht="21.95" customHeight="1" x14ac:dyDescent="0.25">
      <c r="A11" s="28" t="s">
        <v>20</v>
      </c>
      <c r="B11" s="28"/>
      <c r="C11" s="29">
        <f>SUM(C4:C10)</f>
        <v>415712000</v>
      </c>
      <c r="D11" s="28">
        <f>SUM(D4:D10)</f>
        <v>1</v>
      </c>
      <c r="E11" s="28" t="s">
        <v>177</v>
      </c>
    </row>
    <row r="12" spans="1:5" ht="27.95" customHeight="1" x14ac:dyDescent="0.25"/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workbookViewId="0"/>
  </sheetViews>
  <sheetFormatPr baseColWidth="10" defaultColWidth="9.140625" defaultRowHeight="15" x14ac:dyDescent="0.25"/>
  <cols>
    <col min="1" max="1" width="85" customWidth="1"/>
    <col min="2" max="2" width="13" customWidth="1"/>
    <col min="3" max="3" width="31" customWidth="1"/>
    <col min="4" max="4" width="19" customWidth="1"/>
    <col min="5" max="5" width="37" customWidth="1"/>
    <col min="6" max="6" width="40" customWidth="1"/>
    <col min="7" max="7" width="101" customWidth="1"/>
  </cols>
  <sheetData>
    <row r="1" spans="1:7" ht="35.1" customHeight="1" x14ac:dyDescent="0.25">
      <c r="A1" s="26" t="s">
        <v>21</v>
      </c>
      <c r="B1" s="20"/>
      <c r="C1" s="20"/>
      <c r="D1" s="20"/>
      <c r="E1" s="20"/>
      <c r="F1" s="20"/>
      <c r="G1" s="20"/>
    </row>
    <row r="3" spans="1:7" ht="26.1" customHeight="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</row>
    <row r="4" spans="1:7" ht="21.95" customHeight="1" x14ac:dyDescent="0.25">
      <c r="A4" s="23" t="s">
        <v>29</v>
      </c>
      <c r="B4" s="20"/>
      <c r="C4" s="20"/>
      <c r="D4" s="20"/>
      <c r="E4" s="20"/>
      <c r="F4" s="20"/>
      <c r="G4" s="20"/>
    </row>
    <row r="5" spans="1:7" ht="20.100000000000001" customHeight="1" x14ac:dyDescent="0.25">
      <c r="A5" s="8" t="s">
        <v>30</v>
      </c>
      <c r="B5" s="9" t="s">
        <v>31</v>
      </c>
      <c r="C5" s="10">
        <f t="shared" ref="C5:C16" si="0">D5*E5</f>
        <v>33250000</v>
      </c>
      <c r="D5" s="9">
        <v>3.5</v>
      </c>
      <c r="E5" s="10">
        <v>9500000</v>
      </c>
      <c r="F5" s="8" t="s">
        <v>32</v>
      </c>
      <c r="G5" s="8" t="s">
        <v>33</v>
      </c>
    </row>
    <row r="6" spans="1:7" ht="20.100000000000001" customHeight="1" x14ac:dyDescent="0.25">
      <c r="A6" s="8" t="s">
        <v>34</v>
      </c>
      <c r="B6" s="9" t="s">
        <v>31</v>
      </c>
      <c r="C6" s="10">
        <f t="shared" si="0"/>
        <v>30800000</v>
      </c>
      <c r="D6" s="9">
        <v>3.5</v>
      </c>
      <c r="E6" s="10">
        <v>8800000</v>
      </c>
      <c r="F6" s="8" t="s">
        <v>35</v>
      </c>
      <c r="G6" s="8" t="s">
        <v>36</v>
      </c>
    </row>
    <row r="7" spans="1:7" ht="20.100000000000001" customHeight="1" x14ac:dyDescent="0.25">
      <c r="A7" s="8" t="s">
        <v>37</v>
      </c>
      <c r="B7" s="9" t="s">
        <v>31</v>
      </c>
      <c r="C7" s="10">
        <f t="shared" si="0"/>
        <v>27300000</v>
      </c>
      <c r="D7" s="9">
        <v>3.5</v>
      </c>
      <c r="E7" s="10">
        <v>7800000</v>
      </c>
      <c r="F7" s="8" t="s">
        <v>35</v>
      </c>
      <c r="G7" s="8" t="s">
        <v>38</v>
      </c>
    </row>
    <row r="8" spans="1:7" ht="20.100000000000001" customHeight="1" x14ac:dyDescent="0.25">
      <c r="A8" s="8" t="s">
        <v>39</v>
      </c>
      <c r="B8" s="9" t="s">
        <v>31</v>
      </c>
      <c r="C8" s="10">
        <f t="shared" si="0"/>
        <v>26250000</v>
      </c>
      <c r="D8" s="9">
        <v>3.5</v>
      </c>
      <c r="E8" s="10">
        <v>7500000</v>
      </c>
      <c r="F8" s="8" t="s">
        <v>40</v>
      </c>
      <c r="G8" s="8" t="s">
        <v>41</v>
      </c>
    </row>
    <row r="9" spans="1:7" ht="20.100000000000001" customHeight="1" x14ac:dyDescent="0.25">
      <c r="A9" s="8" t="s">
        <v>42</v>
      </c>
      <c r="B9" s="9" t="s">
        <v>31</v>
      </c>
      <c r="C9" s="10">
        <f t="shared" si="0"/>
        <v>23800000</v>
      </c>
      <c r="D9" s="9">
        <v>3.5</v>
      </c>
      <c r="E9" s="10">
        <v>6800000</v>
      </c>
      <c r="F9" s="8" t="s">
        <v>40</v>
      </c>
      <c r="G9" s="8" t="s">
        <v>43</v>
      </c>
    </row>
    <row r="10" spans="1:7" ht="20.100000000000001" customHeight="1" x14ac:dyDescent="0.25">
      <c r="A10" s="8" t="s">
        <v>44</v>
      </c>
      <c r="B10" s="9" t="s">
        <v>31</v>
      </c>
      <c r="C10" s="10">
        <f t="shared" si="0"/>
        <v>28000000</v>
      </c>
      <c r="D10" s="9">
        <v>3.5</v>
      </c>
      <c r="E10" s="10">
        <v>8000000</v>
      </c>
      <c r="F10" s="8" t="s">
        <v>45</v>
      </c>
      <c r="G10" s="8" t="s">
        <v>46</v>
      </c>
    </row>
    <row r="11" spans="1:7" ht="20.100000000000001" customHeight="1" x14ac:dyDescent="0.25">
      <c r="A11" s="8" t="s">
        <v>47</v>
      </c>
      <c r="B11" s="9" t="s">
        <v>31</v>
      </c>
      <c r="C11" s="10">
        <f t="shared" si="0"/>
        <v>21000000</v>
      </c>
      <c r="D11" s="9">
        <v>3.5</v>
      </c>
      <c r="E11" s="10">
        <v>6000000</v>
      </c>
      <c r="F11" s="8" t="s">
        <v>48</v>
      </c>
      <c r="G11" s="8" t="s">
        <v>49</v>
      </c>
    </row>
    <row r="12" spans="1:7" ht="20.100000000000001" customHeight="1" x14ac:dyDescent="0.25">
      <c r="A12" s="8" t="s">
        <v>50</v>
      </c>
      <c r="B12" s="9" t="s">
        <v>31</v>
      </c>
      <c r="C12" s="10">
        <f t="shared" si="0"/>
        <v>26250000</v>
      </c>
      <c r="D12" s="9">
        <v>3.5</v>
      </c>
      <c r="E12" s="10">
        <v>7500000</v>
      </c>
      <c r="F12" s="8" t="s">
        <v>51</v>
      </c>
      <c r="G12" s="8" t="s">
        <v>52</v>
      </c>
    </row>
    <row r="13" spans="1:7" ht="20.100000000000001" customHeight="1" x14ac:dyDescent="0.25">
      <c r="A13" s="8" t="s">
        <v>53</v>
      </c>
      <c r="B13" s="9" t="s">
        <v>31</v>
      </c>
      <c r="C13" s="10">
        <f t="shared" si="0"/>
        <v>22750000</v>
      </c>
      <c r="D13" s="9">
        <v>3.5</v>
      </c>
      <c r="E13" s="10">
        <v>6500000</v>
      </c>
      <c r="F13" s="8" t="s">
        <v>51</v>
      </c>
      <c r="G13" s="8" t="s">
        <v>54</v>
      </c>
    </row>
    <row r="14" spans="1:7" ht="20.100000000000001" customHeight="1" x14ac:dyDescent="0.25">
      <c r="A14" s="8" t="s">
        <v>55</v>
      </c>
      <c r="B14" s="9" t="s">
        <v>31</v>
      </c>
      <c r="C14" s="10">
        <f t="shared" si="0"/>
        <v>23800000</v>
      </c>
      <c r="D14" s="9">
        <v>3.5</v>
      </c>
      <c r="E14" s="10">
        <v>6800000</v>
      </c>
      <c r="F14" s="8" t="s">
        <v>56</v>
      </c>
      <c r="G14" s="8" t="s">
        <v>57</v>
      </c>
    </row>
    <row r="15" spans="1:7" ht="20.100000000000001" customHeight="1" x14ac:dyDescent="0.25">
      <c r="A15" s="8" t="s">
        <v>58</v>
      </c>
      <c r="B15" s="9" t="s">
        <v>31</v>
      </c>
      <c r="C15" s="10">
        <f t="shared" si="0"/>
        <v>15750000</v>
      </c>
      <c r="D15" s="9">
        <v>3.5</v>
      </c>
      <c r="E15" s="10">
        <v>4500000</v>
      </c>
      <c r="F15" s="8" t="s">
        <v>56</v>
      </c>
      <c r="G15" s="8" t="s">
        <v>59</v>
      </c>
    </row>
    <row r="16" spans="1:7" ht="20.100000000000001" customHeight="1" x14ac:dyDescent="0.25">
      <c r="A16" s="8" t="s">
        <v>60</v>
      </c>
      <c r="B16" s="9" t="s">
        <v>31</v>
      </c>
      <c r="C16" s="10">
        <f t="shared" si="0"/>
        <v>17500000</v>
      </c>
      <c r="D16" s="9">
        <v>3.5</v>
      </c>
      <c r="E16" s="10">
        <v>5000000</v>
      </c>
      <c r="F16" s="8" t="s">
        <v>61</v>
      </c>
      <c r="G16" s="8" t="s">
        <v>62</v>
      </c>
    </row>
    <row r="17" spans="1:7" ht="21.95" customHeight="1" x14ac:dyDescent="0.25">
      <c r="A17" s="24" t="s">
        <v>63</v>
      </c>
      <c r="B17" s="25"/>
      <c r="C17" s="12">
        <f>SUM(C5:C16)</f>
        <v>296450000</v>
      </c>
      <c r="D17" s="11"/>
      <c r="E17" s="11"/>
      <c r="F17" s="11"/>
      <c r="G17" s="11"/>
    </row>
    <row r="18" spans="1:7" ht="21.95" customHeight="1" x14ac:dyDescent="0.25">
      <c r="A18" s="23" t="s">
        <v>64</v>
      </c>
      <c r="B18" s="20"/>
      <c r="C18" s="20"/>
      <c r="D18" s="20"/>
      <c r="E18" s="20"/>
      <c r="F18" s="20"/>
      <c r="G18" s="20"/>
    </row>
    <row r="19" spans="1:7" ht="20.100000000000001" customHeight="1" x14ac:dyDescent="0.25">
      <c r="A19" s="8" t="s">
        <v>65</v>
      </c>
      <c r="B19" s="9" t="s">
        <v>31</v>
      </c>
      <c r="C19" s="10">
        <f t="shared" ref="C19:C25" si="1">D19*E19</f>
        <v>7400000</v>
      </c>
      <c r="D19" s="9">
        <v>4</v>
      </c>
      <c r="E19" s="10">
        <v>1850000</v>
      </c>
      <c r="F19" s="8" t="s">
        <v>66</v>
      </c>
      <c r="G19" s="8" t="s">
        <v>67</v>
      </c>
    </row>
    <row r="20" spans="1:7" ht="20.100000000000001" customHeight="1" x14ac:dyDescent="0.25">
      <c r="A20" s="8" t="s">
        <v>68</v>
      </c>
      <c r="B20" s="9" t="s">
        <v>31</v>
      </c>
      <c r="C20" s="10">
        <f t="shared" si="1"/>
        <v>6400000</v>
      </c>
      <c r="D20" s="9">
        <v>4</v>
      </c>
      <c r="E20" s="10">
        <v>1600000</v>
      </c>
      <c r="F20" s="8" t="s">
        <v>69</v>
      </c>
      <c r="G20" s="8" t="s">
        <v>70</v>
      </c>
    </row>
    <row r="21" spans="1:7" ht="20.100000000000001" customHeight="1" x14ac:dyDescent="0.25">
      <c r="A21" s="8" t="s">
        <v>71</v>
      </c>
      <c r="B21" s="9" t="s">
        <v>31</v>
      </c>
      <c r="C21" s="10">
        <f t="shared" si="1"/>
        <v>2600000</v>
      </c>
      <c r="D21" s="9">
        <v>4</v>
      </c>
      <c r="E21" s="10">
        <v>650000</v>
      </c>
      <c r="F21" s="8" t="s">
        <v>72</v>
      </c>
      <c r="G21" s="8" t="s">
        <v>73</v>
      </c>
    </row>
    <row r="22" spans="1:7" ht="20.100000000000001" customHeight="1" x14ac:dyDescent="0.25">
      <c r="A22" s="8" t="s">
        <v>74</v>
      </c>
      <c r="B22" s="9" t="s">
        <v>31</v>
      </c>
      <c r="C22" s="10">
        <f t="shared" si="1"/>
        <v>1800000</v>
      </c>
      <c r="D22" s="9">
        <v>4</v>
      </c>
      <c r="E22" s="10">
        <v>450000</v>
      </c>
      <c r="F22" s="8" t="s">
        <v>66</v>
      </c>
      <c r="G22" s="8" t="s">
        <v>75</v>
      </c>
    </row>
    <row r="23" spans="1:7" ht="20.100000000000001" customHeight="1" x14ac:dyDescent="0.25">
      <c r="A23" s="8" t="s">
        <v>76</v>
      </c>
      <c r="B23" s="9" t="s">
        <v>31</v>
      </c>
      <c r="C23" s="10">
        <f t="shared" si="1"/>
        <v>3400000</v>
      </c>
      <c r="D23" s="9">
        <v>4</v>
      </c>
      <c r="E23" s="10">
        <v>850000</v>
      </c>
      <c r="F23" s="8" t="s">
        <v>66</v>
      </c>
      <c r="G23" s="8" t="s">
        <v>77</v>
      </c>
    </row>
    <row r="24" spans="1:7" ht="20.100000000000001" customHeight="1" x14ac:dyDescent="0.25">
      <c r="A24" s="8" t="s">
        <v>78</v>
      </c>
      <c r="B24" s="9" t="s">
        <v>79</v>
      </c>
      <c r="C24" s="10">
        <f t="shared" si="1"/>
        <v>950000</v>
      </c>
      <c r="D24" s="9">
        <v>1</v>
      </c>
      <c r="E24" s="10">
        <v>950000</v>
      </c>
      <c r="F24" s="8" t="s">
        <v>80</v>
      </c>
      <c r="G24" s="8" t="s">
        <v>81</v>
      </c>
    </row>
    <row r="25" spans="1:7" ht="20.100000000000001" customHeight="1" x14ac:dyDescent="0.25">
      <c r="A25" s="8" t="s">
        <v>82</v>
      </c>
      <c r="B25" s="9" t="s">
        <v>31</v>
      </c>
      <c r="C25" s="10">
        <f t="shared" si="1"/>
        <v>2625000</v>
      </c>
      <c r="D25" s="9">
        <v>3.5</v>
      </c>
      <c r="E25" s="10">
        <v>750000</v>
      </c>
      <c r="F25" s="8" t="s">
        <v>66</v>
      </c>
      <c r="G25" s="8" t="s">
        <v>83</v>
      </c>
    </row>
    <row r="26" spans="1:7" ht="21.95" customHeight="1" x14ac:dyDescent="0.25">
      <c r="A26" s="24" t="s">
        <v>84</v>
      </c>
      <c r="B26" s="25"/>
      <c r="C26" s="12">
        <f>SUM(C19:C25)</f>
        <v>25175000</v>
      </c>
      <c r="D26" s="11"/>
      <c r="E26" s="11"/>
      <c r="F26" s="11"/>
      <c r="G26" s="11"/>
    </row>
    <row r="27" spans="1:7" ht="21.95" customHeight="1" x14ac:dyDescent="0.25">
      <c r="A27" s="23" t="s">
        <v>85</v>
      </c>
      <c r="B27" s="20"/>
      <c r="C27" s="20"/>
      <c r="D27" s="20"/>
      <c r="E27" s="20"/>
      <c r="F27" s="20"/>
      <c r="G27" s="20"/>
    </row>
    <row r="28" spans="1:7" ht="20.100000000000001" customHeight="1" x14ac:dyDescent="0.25">
      <c r="A28" s="8" t="s">
        <v>86</v>
      </c>
      <c r="B28" s="9" t="s">
        <v>31</v>
      </c>
      <c r="C28" s="10">
        <f t="shared" ref="C28:C34" si="2">D28*E28</f>
        <v>5775000</v>
      </c>
      <c r="D28" s="9">
        <v>3.5</v>
      </c>
      <c r="E28" s="10">
        <v>1650000</v>
      </c>
      <c r="F28" s="8" t="s">
        <v>87</v>
      </c>
      <c r="G28" s="8" t="s">
        <v>88</v>
      </c>
    </row>
    <row r="29" spans="1:7" ht="20.100000000000001" customHeight="1" x14ac:dyDescent="0.25">
      <c r="A29" s="8" t="s">
        <v>89</v>
      </c>
      <c r="B29" s="9" t="s">
        <v>31</v>
      </c>
      <c r="C29" s="10">
        <f t="shared" si="2"/>
        <v>2975000</v>
      </c>
      <c r="D29" s="9">
        <v>3.5</v>
      </c>
      <c r="E29" s="10">
        <v>850000</v>
      </c>
      <c r="F29" s="8" t="s">
        <v>66</v>
      </c>
      <c r="G29" s="8" t="s">
        <v>90</v>
      </c>
    </row>
    <row r="30" spans="1:7" ht="20.100000000000001" customHeight="1" x14ac:dyDescent="0.25">
      <c r="A30" s="8" t="s">
        <v>91</v>
      </c>
      <c r="B30" s="9" t="s">
        <v>31</v>
      </c>
      <c r="C30" s="10">
        <f t="shared" si="2"/>
        <v>2170000</v>
      </c>
      <c r="D30" s="9">
        <v>3.5</v>
      </c>
      <c r="E30" s="10">
        <v>620000</v>
      </c>
      <c r="F30" s="8" t="s">
        <v>92</v>
      </c>
      <c r="G30" s="8" t="s">
        <v>93</v>
      </c>
    </row>
    <row r="31" spans="1:7" ht="20.100000000000001" customHeight="1" x14ac:dyDescent="0.25">
      <c r="A31" s="8" t="s">
        <v>94</v>
      </c>
      <c r="B31" s="9" t="s">
        <v>31</v>
      </c>
      <c r="C31" s="10">
        <f t="shared" si="2"/>
        <v>1680000</v>
      </c>
      <c r="D31" s="9">
        <v>3.5</v>
      </c>
      <c r="E31" s="10">
        <v>480000</v>
      </c>
      <c r="F31" s="8" t="s">
        <v>95</v>
      </c>
      <c r="G31" s="8" t="s">
        <v>96</v>
      </c>
    </row>
    <row r="32" spans="1:7" ht="20.100000000000001" customHeight="1" x14ac:dyDescent="0.25">
      <c r="A32" s="8" t="s">
        <v>97</v>
      </c>
      <c r="B32" s="9" t="s">
        <v>31</v>
      </c>
      <c r="C32" s="10">
        <f t="shared" si="2"/>
        <v>1925000</v>
      </c>
      <c r="D32" s="9">
        <v>3.5</v>
      </c>
      <c r="E32" s="10">
        <v>550000</v>
      </c>
      <c r="F32" s="8" t="s">
        <v>66</v>
      </c>
      <c r="G32" s="8" t="s">
        <v>98</v>
      </c>
    </row>
    <row r="33" spans="1:7" ht="20.100000000000001" customHeight="1" x14ac:dyDescent="0.25">
      <c r="A33" s="8" t="s">
        <v>99</v>
      </c>
      <c r="B33" s="9" t="s">
        <v>31</v>
      </c>
      <c r="C33" s="10">
        <f t="shared" si="2"/>
        <v>1820000</v>
      </c>
      <c r="D33" s="9">
        <v>3.5</v>
      </c>
      <c r="E33" s="10">
        <v>520000</v>
      </c>
      <c r="F33" s="8" t="s">
        <v>72</v>
      </c>
      <c r="G33" s="8" t="s">
        <v>100</v>
      </c>
    </row>
    <row r="34" spans="1:7" ht="20.100000000000001" customHeight="1" x14ac:dyDescent="0.25">
      <c r="A34" s="8" t="s">
        <v>101</v>
      </c>
      <c r="B34" s="9" t="s">
        <v>79</v>
      </c>
      <c r="C34" s="10">
        <f t="shared" si="2"/>
        <v>850000</v>
      </c>
      <c r="D34" s="9">
        <v>1</v>
      </c>
      <c r="E34" s="10">
        <v>850000</v>
      </c>
      <c r="F34" s="8" t="s">
        <v>102</v>
      </c>
      <c r="G34" s="8" t="s">
        <v>103</v>
      </c>
    </row>
    <row r="35" spans="1:7" ht="21.95" customHeight="1" x14ac:dyDescent="0.25">
      <c r="A35" s="24" t="s">
        <v>104</v>
      </c>
      <c r="B35" s="25"/>
      <c r="C35" s="12">
        <f>SUM(C28:C34)</f>
        <v>17195000</v>
      </c>
      <c r="D35" s="11"/>
      <c r="E35" s="11"/>
      <c r="F35" s="11"/>
      <c r="G35" s="11"/>
    </row>
    <row r="36" spans="1:7" ht="21.95" customHeight="1" x14ac:dyDescent="0.25">
      <c r="A36" s="23" t="s">
        <v>105</v>
      </c>
      <c r="B36" s="20"/>
      <c r="C36" s="20"/>
      <c r="D36" s="20"/>
      <c r="E36" s="20"/>
      <c r="F36" s="20"/>
      <c r="G36" s="20"/>
    </row>
    <row r="37" spans="1:7" ht="20.100000000000001" customHeight="1" x14ac:dyDescent="0.25">
      <c r="A37" s="8" t="s">
        <v>106</v>
      </c>
      <c r="B37" s="9" t="s">
        <v>79</v>
      </c>
      <c r="C37" s="10">
        <f>D37*E37</f>
        <v>6500000</v>
      </c>
      <c r="D37" s="9">
        <v>1</v>
      </c>
      <c r="E37" s="10">
        <v>6500000</v>
      </c>
      <c r="F37" s="8" t="s">
        <v>107</v>
      </c>
      <c r="G37" s="8" t="s">
        <v>108</v>
      </c>
    </row>
    <row r="38" spans="1:7" ht="20.100000000000001" customHeight="1" x14ac:dyDescent="0.25">
      <c r="A38" s="8" t="s">
        <v>109</v>
      </c>
      <c r="B38" s="9" t="s">
        <v>79</v>
      </c>
      <c r="C38" s="10">
        <f>D38*E38</f>
        <v>2800000</v>
      </c>
      <c r="D38" s="9">
        <v>1</v>
      </c>
      <c r="E38" s="10">
        <v>2800000</v>
      </c>
      <c r="F38" s="8" t="s">
        <v>110</v>
      </c>
      <c r="G38" s="8" t="s">
        <v>111</v>
      </c>
    </row>
    <row r="39" spans="1:7" ht="20.100000000000001" customHeight="1" x14ac:dyDescent="0.25">
      <c r="A39" s="8" t="s">
        <v>112</v>
      </c>
      <c r="B39" s="9" t="s">
        <v>79</v>
      </c>
      <c r="C39" s="10">
        <f>D39*E39</f>
        <v>3200000</v>
      </c>
      <c r="D39" s="9">
        <v>1</v>
      </c>
      <c r="E39" s="10">
        <v>3200000</v>
      </c>
      <c r="F39" s="8" t="s">
        <v>113</v>
      </c>
      <c r="G39" s="8" t="s">
        <v>114</v>
      </c>
    </row>
    <row r="40" spans="1:7" ht="20.100000000000001" customHeight="1" x14ac:dyDescent="0.25">
      <c r="A40" s="8" t="s">
        <v>115</v>
      </c>
      <c r="B40" s="9" t="s">
        <v>79</v>
      </c>
      <c r="C40" s="10">
        <f>D40*E40</f>
        <v>3800000</v>
      </c>
      <c r="D40" s="9">
        <v>1</v>
      </c>
      <c r="E40" s="10">
        <v>3800000</v>
      </c>
      <c r="F40" s="8" t="s">
        <v>116</v>
      </c>
      <c r="G40" s="8" t="s">
        <v>117</v>
      </c>
    </row>
    <row r="41" spans="1:7" ht="20.100000000000001" customHeight="1" x14ac:dyDescent="0.25">
      <c r="A41" s="8" t="s">
        <v>118</v>
      </c>
      <c r="B41" s="9" t="s">
        <v>79</v>
      </c>
      <c r="C41" s="10">
        <f>D41*E41</f>
        <v>2500000</v>
      </c>
      <c r="D41" s="9">
        <v>1</v>
      </c>
      <c r="E41" s="10">
        <v>2500000</v>
      </c>
      <c r="F41" s="8" t="s">
        <v>119</v>
      </c>
      <c r="G41" s="8" t="s">
        <v>120</v>
      </c>
    </row>
    <row r="42" spans="1:7" ht="21.95" customHeight="1" x14ac:dyDescent="0.25">
      <c r="A42" s="24" t="s">
        <v>121</v>
      </c>
      <c r="B42" s="25"/>
      <c r="C42" s="12">
        <f>SUM(C37:C41)</f>
        <v>18800000</v>
      </c>
      <c r="D42" s="11"/>
      <c r="E42" s="11"/>
      <c r="F42" s="11"/>
      <c r="G42" s="11"/>
    </row>
    <row r="43" spans="1:7" ht="21.95" customHeight="1" x14ac:dyDescent="0.25">
      <c r="A43" s="23" t="s">
        <v>122</v>
      </c>
      <c r="B43" s="20"/>
      <c r="C43" s="20"/>
      <c r="D43" s="20"/>
      <c r="E43" s="20"/>
      <c r="F43" s="20"/>
      <c r="G43" s="20"/>
    </row>
    <row r="44" spans="1:7" ht="20.100000000000001" customHeight="1" x14ac:dyDescent="0.25">
      <c r="A44" s="8" t="s">
        <v>123</v>
      </c>
      <c r="B44" s="9" t="s">
        <v>79</v>
      </c>
      <c r="C44" s="10">
        <f>D44*E44</f>
        <v>4800000</v>
      </c>
      <c r="D44" s="9">
        <v>1</v>
      </c>
      <c r="E44" s="10">
        <v>4800000</v>
      </c>
      <c r="F44" s="8" t="s">
        <v>124</v>
      </c>
      <c r="G44" s="8" t="s">
        <v>125</v>
      </c>
    </row>
    <row r="45" spans="1:7" ht="20.100000000000001" customHeight="1" x14ac:dyDescent="0.25">
      <c r="A45" s="8" t="s">
        <v>126</v>
      </c>
      <c r="B45" s="9" t="s">
        <v>79</v>
      </c>
      <c r="C45" s="10">
        <f>D45*E45</f>
        <v>2400000</v>
      </c>
      <c r="D45" s="9">
        <v>1</v>
      </c>
      <c r="E45" s="10">
        <v>2400000</v>
      </c>
      <c r="F45" s="8" t="s">
        <v>127</v>
      </c>
      <c r="G45" s="8" t="s">
        <v>128</v>
      </c>
    </row>
    <row r="46" spans="1:7" ht="20.100000000000001" customHeight="1" x14ac:dyDescent="0.25">
      <c r="A46" s="8" t="s">
        <v>129</v>
      </c>
      <c r="B46" s="9" t="s">
        <v>79</v>
      </c>
      <c r="C46" s="10">
        <f>D46*E46</f>
        <v>3500000</v>
      </c>
      <c r="D46" s="9">
        <v>1</v>
      </c>
      <c r="E46" s="10">
        <v>3500000</v>
      </c>
      <c r="F46" s="8" t="s">
        <v>116</v>
      </c>
      <c r="G46" s="8" t="s">
        <v>130</v>
      </c>
    </row>
    <row r="47" spans="1:7" ht="20.100000000000001" customHeight="1" x14ac:dyDescent="0.25">
      <c r="A47" s="8" t="s">
        <v>131</v>
      </c>
      <c r="B47" s="9" t="s">
        <v>79</v>
      </c>
      <c r="C47" s="10">
        <f>D47*E47</f>
        <v>1800000</v>
      </c>
      <c r="D47" s="9">
        <v>1</v>
      </c>
      <c r="E47" s="10">
        <v>1800000</v>
      </c>
      <c r="F47" s="8" t="s">
        <v>132</v>
      </c>
      <c r="G47" s="8" t="s">
        <v>133</v>
      </c>
    </row>
    <row r="48" spans="1:7" ht="20.100000000000001" customHeight="1" x14ac:dyDescent="0.25">
      <c r="A48" s="8" t="s">
        <v>134</v>
      </c>
      <c r="B48" s="9" t="s">
        <v>79</v>
      </c>
      <c r="C48" s="10">
        <f>D48*E48</f>
        <v>1200000</v>
      </c>
      <c r="D48" s="9">
        <v>1</v>
      </c>
      <c r="E48" s="10">
        <v>1200000</v>
      </c>
      <c r="F48" s="8" t="s">
        <v>135</v>
      </c>
      <c r="G48" s="8" t="s">
        <v>136</v>
      </c>
    </row>
    <row r="49" spans="1:7" ht="21.95" customHeight="1" x14ac:dyDescent="0.25">
      <c r="A49" s="24" t="s">
        <v>137</v>
      </c>
      <c r="B49" s="25"/>
      <c r="C49" s="12">
        <f>SUM(C44:C48)</f>
        <v>13700000</v>
      </c>
      <c r="D49" s="11"/>
      <c r="E49" s="11"/>
      <c r="F49" s="11"/>
      <c r="G49" s="11"/>
    </row>
    <row r="50" spans="1:7" ht="21.95" customHeight="1" x14ac:dyDescent="0.25">
      <c r="A50" s="23" t="s">
        <v>138</v>
      </c>
      <c r="B50" s="20"/>
      <c r="C50" s="20"/>
      <c r="D50" s="20"/>
      <c r="E50" s="20"/>
      <c r="F50" s="20"/>
      <c r="G50" s="20"/>
    </row>
    <row r="51" spans="1:7" ht="20.100000000000001" customHeight="1" x14ac:dyDescent="0.25">
      <c r="A51" s="8" t="s">
        <v>139</v>
      </c>
      <c r="B51" s="9" t="s">
        <v>79</v>
      </c>
      <c r="C51" s="10">
        <f>D51*E51</f>
        <v>1900000</v>
      </c>
      <c r="D51" s="9">
        <v>1</v>
      </c>
      <c r="E51" s="10">
        <v>1900000</v>
      </c>
      <c r="F51" s="8" t="s">
        <v>92</v>
      </c>
      <c r="G51" s="8" t="s">
        <v>140</v>
      </c>
    </row>
    <row r="52" spans="1:7" ht="20.100000000000001" customHeight="1" x14ac:dyDescent="0.25">
      <c r="A52" s="8" t="s">
        <v>141</v>
      </c>
      <c r="B52" s="9" t="s">
        <v>79</v>
      </c>
      <c r="C52" s="10">
        <f>D52*E52</f>
        <v>2600000</v>
      </c>
      <c r="D52" s="9">
        <v>1</v>
      </c>
      <c r="E52" s="10">
        <v>2600000</v>
      </c>
      <c r="F52" s="8" t="s">
        <v>142</v>
      </c>
      <c r="G52" s="8" t="s">
        <v>143</v>
      </c>
    </row>
    <row r="53" spans="1:7" ht="20.100000000000001" customHeight="1" x14ac:dyDescent="0.25">
      <c r="A53" s="8" t="s">
        <v>144</v>
      </c>
      <c r="B53" s="9" t="s">
        <v>79</v>
      </c>
      <c r="C53" s="10">
        <f>D53*E53</f>
        <v>2100000</v>
      </c>
      <c r="D53" s="9">
        <v>1</v>
      </c>
      <c r="E53" s="10">
        <v>2100000</v>
      </c>
      <c r="F53" s="8" t="s">
        <v>92</v>
      </c>
      <c r="G53" s="8" t="s">
        <v>145</v>
      </c>
    </row>
    <row r="54" spans="1:7" ht="21.95" customHeight="1" x14ac:dyDescent="0.25">
      <c r="A54" s="24" t="s">
        <v>146</v>
      </c>
      <c r="B54" s="25"/>
      <c r="C54" s="12">
        <f>SUM(C51:C53)</f>
        <v>6600000</v>
      </c>
      <c r="D54" s="11"/>
      <c r="E54" s="11"/>
      <c r="F54" s="11"/>
      <c r="G54" s="11"/>
    </row>
    <row r="55" spans="1:7" ht="21.95" customHeight="1" x14ac:dyDescent="0.25">
      <c r="A55" s="23" t="s">
        <v>147</v>
      </c>
      <c r="B55" s="20"/>
      <c r="C55" s="20"/>
      <c r="D55" s="20"/>
      <c r="E55" s="20"/>
      <c r="F55" s="20"/>
      <c r="G55" s="20"/>
    </row>
    <row r="56" spans="1:7" ht="20.100000000000001" customHeight="1" x14ac:dyDescent="0.25">
      <c r="A56" s="8" t="s">
        <v>148</v>
      </c>
      <c r="B56" s="9" t="s">
        <v>149</v>
      </c>
      <c r="C56" s="10">
        <f>D56*E56</f>
        <v>22675200</v>
      </c>
      <c r="D56" s="9">
        <v>1</v>
      </c>
      <c r="E56" s="10">
        <f>SUM(C17,C26,C35,C42,C49,C54)*0.06</f>
        <v>22675200</v>
      </c>
      <c r="F56" s="8" t="s">
        <v>150</v>
      </c>
      <c r="G56" s="8" t="s">
        <v>151</v>
      </c>
    </row>
    <row r="57" spans="1:7" ht="20.100000000000001" customHeight="1" x14ac:dyDescent="0.25">
      <c r="A57" s="8" t="s">
        <v>152</v>
      </c>
      <c r="B57" s="9" t="s">
        <v>149</v>
      </c>
      <c r="C57" s="10">
        <f>D57*E57</f>
        <v>15116800</v>
      </c>
      <c r="D57" s="9">
        <v>1</v>
      </c>
      <c r="E57" s="10">
        <f>SUM(C17,C26,C35,C42,C49,C54)*0.04</f>
        <v>15116800</v>
      </c>
      <c r="F57" s="8" t="s">
        <v>153</v>
      </c>
      <c r="G57" s="8" t="s">
        <v>154</v>
      </c>
    </row>
    <row r="58" spans="1:7" ht="21.95" customHeight="1" x14ac:dyDescent="0.25">
      <c r="A58" s="24" t="s">
        <v>155</v>
      </c>
      <c r="B58" s="25"/>
      <c r="C58" s="12">
        <f>SUM(C56:C57)</f>
        <v>37792000</v>
      </c>
      <c r="D58" s="11"/>
      <c r="E58" s="11"/>
      <c r="F58" s="11"/>
      <c r="G58" s="11"/>
    </row>
    <row r="60" spans="1:7" ht="27.95" customHeight="1" x14ac:dyDescent="0.25">
      <c r="A60" s="21" t="s">
        <v>156</v>
      </c>
      <c r="B60" s="22"/>
      <c r="C60" s="7">
        <f>C17+C26+C35+C42+C49+C54+C58</f>
        <v>415712000</v>
      </c>
      <c r="D60" s="13"/>
      <c r="E60" s="13"/>
      <c r="F60" s="13"/>
      <c r="G60" s="13"/>
    </row>
  </sheetData>
  <mergeCells count="16">
    <mergeCell ref="A60:B60"/>
    <mergeCell ref="A49:B49"/>
    <mergeCell ref="A55:G55"/>
    <mergeCell ref="A50:G50"/>
    <mergeCell ref="A4:G4"/>
    <mergeCell ref="A42:B42"/>
    <mergeCell ref="A17:B17"/>
    <mergeCell ref="A43:G43"/>
    <mergeCell ref="A58:B58"/>
    <mergeCell ref="A35:B35"/>
    <mergeCell ref="A36:G36"/>
    <mergeCell ref="A26:B26"/>
    <mergeCell ref="A54:B54"/>
    <mergeCell ref="A1:G1"/>
    <mergeCell ref="A18:G18"/>
    <mergeCell ref="A27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baseColWidth="10" defaultColWidth="9.140625" defaultRowHeight="15" x14ac:dyDescent="0.25"/>
  <cols>
    <col min="1" max="1" width="56" customWidth="1"/>
    <col min="2" max="9" width="34" customWidth="1"/>
    <col min="10" max="10" width="16" customWidth="1"/>
  </cols>
  <sheetData>
    <row r="1" spans="1:10" ht="32.1" customHeight="1" x14ac:dyDescent="0.25">
      <c r="A1" s="26" t="s">
        <v>157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27.95" customHeight="1" x14ac:dyDescent="0.25">
      <c r="A3" s="14" t="s">
        <v>158</v>
      </c>
      <c r="B3" s="14" t="s">
        <v>159</v>
      </c>
      <c r="C3" s="14" t="s">
        <v>160</v>
      </c>
      <c r="D3" s="14" t="s">
        <v>161</v>
      </c>
      <c r="E3" s="14" t="s">
        <v>162</v>
      </c>
      <c r="F3" s="14" t="s">
        <v>163</v>
      </c>
      <c r="G3" s="14" t="s">
        <v>164</v>
      </c>
      <c r="H3" s="14" t="s">
        <v>165</v>
      </c>
      <c r="I3" s="14" t="s">
        <v>166</v>
      </c>
      <c r="J3" s="14" t="s">
        <v>167</v>
      </c>
    </row>
    <row r="4" spans="1:10" ht="20.100000000000001" customHeight="1" x14ac:dyDescent="0.25">
      <c r="A4" s="15" t="s">
        <v>168</v>
      </c>
      <c r="B4" s="10">
        <f>'Detalle de Costos'!C17*(1/14)</f>
        <v>21175000</v>
      </c>
      <c r="C4" s="10">
        <f>'Detalle de Costos'!C17*(2/14)</f>
        <v>42350000</v>
      </c>
      <c r="D4" s="10">
        <f>'Detalle de Costos'!C17*(2/14)</f>
        <v>42350000</v>
      </c>
      <c r="E4" s="10">
        <f>'Detalle de Costos'!C17*(2/14)</f>
        <v>42350000</v>
      </c>
      <c r="F4" s="10">
        <f>'Detalle de Costos'!C17*(2/14)</f>
        <v>42350000</v>
      </c>
      <c r="G4" s="10">
        <f>'Detalle de Costos'!C17*(2/14)</f>
        <v>42350000</v>
      </c>
      <c r="H4" s="10">
        <f>'Detalle de Costos'!C17*(2/14)</f>
        <v>42350000</v>
      </c>
      <c r="I4" s="10">
        <f>'Detalle de Costos'!C17*(1/14)</f>
        <v>21175000</v>
      </c>
      <c r="J4" s="10">
        <f t="shared" ref="J4:J10" si="0">SUM(B4:I4)</f>
        <v>296450000</v>
      </c>
    </row>
    <row r="5" spans="1:10" ht="20.100000000000001" customHeight="1" x14ac:dyDescent="0.25">
      <c r="A5" s="15" t="s">
        <v>169</v>
      </c>
      <c r="B5" s="10">
        <f>'Detalle de Costos'!C26*(1/14)</f>
        <v>1798214.2857142857</v>
      </c>
      <c r="C5" s="10">
        <f>'Detalle de Costos'!C26*(2/14)</f>
        <v>3596428.5714285714</v>
      </c>
      <c r="D5" s="10">
        <f>'Detalle de Costos'!C26*(2/14)</f>
        <v>3596428.5714285714</v>
      </c>
      <c r="E5" s="10">
        <f>'Detalle de Costos'!C26*(2/14)</f>
        <v>3596428.5714285714</v>
      </c>
      <c r="F5" s="10">
        <f>'Detalle de Costos'!C26*(2/14)</f>
        <v>3596428.5714285714</v>
      </c>
      <c r="G5" s="10">
        <f>'Detalle de Costos'!C26*(2/14)</f>
        <v>3596428.5714285714</v>
      </c>
      <c r="H5" s="10">
        <f>'Detalle de Costos'!C26*(2/14)</f>
        <v>3596428.5714285714</v>
      </c>
      <c r="I5" s="10">
        <f>'Detalle de Costos'!C26*(1/14)</f>
        <v>1798214.2857142857</v>
      </c>
      <c r="J5" s="10">
        <f t="shared" si="0"/>
        <v>25175000</v>
      </c>
    </row>
    <row r="6" spans="1:10" ht="20.100000000000001" customHeight="1" x14ac:dyDescent="0.25">
      <c r="A6" s="15" t="s">
        <v>170</v>
      </c>
      <c r="B6" s="10">
        <f>'Detalle de Costos'!C35*0.05</f>
        <v>859750</v>
      </c>
      <c r="C6" s="10">
        <f>'Detalle de Costos'!C35*0.15</f>
        <v>2579250</v>
      </c>
      <c r="D6" s="10">
        <f>'Detalle de Costos'!C35*0.15</f>
        <v>2579250</v>
      </c>
      <c r="E6" s="10">
        <f>'Detalle de Costos'!C35*0.15</f>
        <v>2579250</v>
      </c>
      <c r="F6" s="10">
        <f>'Detalle de Costos'!C35*0.2</f>
        <v>3439000</v>
      </c>
      <c r="G6" s="10">
        <f>'Detalle de Costos'!C35*0.15</f>
        <v>2579250</v>
      </c>
      <c r="H6" s="10">
        <f>'Detalle de Costos'!C35*0.1</f>
        <v>1719500</v>
      </c>
      <c r="I6" s="10">
        <f>'Detalle de Costos'!C35*0.05</f>
        <v>859750</v>
      </c>
      <c r="J6" s="10">
        <f t="shared" si="0"/>
        <v>17195000</v>
      </c>
    </row>
    <row r="7" spans="1:10" ht="20.100000000000001" customHeight="1" x14ac:dyDescent="0.25">
      <c r="A7" s="15" t="s">
        <v>171</v>
      </c>
      <c r="B7" s="10">
        <f>'Detalle de Costos'!C42*0</f>
        <v>0</v>
      </c>
      <c r="C7" s="10">
        <f>'Detalle de Costos'!C42*0.1</f>
        <v>1880000</v>
      </c>
      <c r="D7" s="10">
        <f>'Detalle de Costos'!C42*0.1</f>
        <v>1880000</v>
      </c>
      <c r="E7" s="10">
        <f>'Detalle de Costos'!C42*0.15</f>
        <v>2820000</v>
      </c>
      <c r="F7" s="10">
        <f>'Detalle de Costos'!C42*0.15</f>
        <v>2820000</v>
      </c>
      <c r="G7" s="10">
        <f>'Detalle de Costos'!C42*0.2</f>
        <v>3760000</v>
      </c>
      <c r="H7" s="10">
        <f>'Detalle de Costos'!C42*0.25</f>
        <v>4700000</v>
      </c>
      <c r="I7" s="10">
        <f>'Detalle de Costos'!C42*0.05</f>
        <v>940000</v>
      </c>
      <c r="J7" s="10">
        <f t="shared" si="0"/>
        <v>18800000</v>
      </c>
    </row>
    <row r="8" spans="1:10" ht="20.100000000000001" customHeight="1" x14ac:dyDescent="0.25">
      <c r="A8" s="15" t="s">
        <v>172</v>
      </c>
      <c r="B8" s="10">
        <f>'Detalle de Costos'!C49*0.05</f>
        <v>685000</v>
      </c>
      <c r="C8" s="10">
        <f>'Detalle de Costos'!C49*0.05</f>
        <v>685000</v>
      </c>
      <c r="D8" s="10">
        <f>'Detalle de Costos'!C49*0.1</f>
        <v>1370000</v>
      </c>
      <c r="E8" s="10">
        <f>'Detalle de Costos'!C49*0.15</f>
        <v>2055000</v>
      </c>
      <c r="F8" s="10">
        <f>'Detalle de Costos'!C49*0.25</f>
        <v>3425000</v>
      </c>
      <c r="G8" s="10">
        <f>'Detalle de Costos'!C49*0.25</f>
        <v>3425000</v>
      </c>
      <c r="H8" s="10">
        <f>'Detalle de Costos'!C49*0.1</f>
        <v>1370000</v>
      </c>
      <c r="I8" s="10">
        <f>'Detalle de Costos'!C49*0.05</f>
        <v>685000</v>
      </c>
      <c r="J8" s="10">
        <f t="shared" si="0"/>
        <v>13700000</v>
      </c>
    </row>
    <row r="9" spans="1:10" ht="20.100000000000001" customHeight="1" x14ac:dyDescent="0.25">
      <c r="A9" s="15" t="s">
        <v>173</v>
      </c>
      <c r="B9" s="10">
        <f>'Detalle de Costos'!C54*0.2</f>
        <v>1320000</v>
      </c>
      <c r="C9" s="10">
        <f>'Detalle de Costos'!C54*0.2</f>
        <v>1320000</v>
      </c>
      <c r="D9" s="10">
        <f>'Detalle de Costos'!C54*0.1</f>
        <v>660000</v>
      </c>
      <c r="E9" s="10">
        <f>'Detalle de Costos'!C54*0.1</f>
        <v>660000</v>
      </c>
      <c r="F9" s="10">
        <f>'Detalle de Costos'!C54*0.1</f>
        <v>660000</v>
      </c>
      <c r="G9" s="10">
        <f>'Detalle de Costos'!C54*0.1</f>
        <v>660000</v>
      </c>
      <c r="H9" s="10">
        <f>'Detalle de Costos'!C54*0.1</f>
        <v>660000</v>
      </c>
      <c r="I9" s="10">
        <f>'Detalle de Costos'!C54*0.1</f>
        <v>660000</v>
      </c>
      <c r="J9" s="10">
        <f t="shared" si="0"/>
        <v>6600000</v>
      </c>
    </row>
    <row r="10" spans="1:10" ht="20.100000000000001" customHeight="1" x14ac:dyDescent="0.25">
      <c r="A10" s="15" t="s">
        <v>174</v>
      </c>
      <c r="B10" s="10">
        <f>'Detalle de Costos'!C58*0</f>
        <v>0</v>
      </c>
      <c r="C10" s="10">
        <f>'Detalle de Costos'!C58*0.1</f>
        <v>3779200</v>
      </c>
      <c r="D10" s="10">
        <f>'Detalle de Costos'!C58*0.15</f>
        <v>5668800</v>
      </c>
      <c r="E10" s="10">
        <f>'Detalle de Costos'!C58*0.15</f>
        <v>5668800</v>
      </c>
      <c r="F10" s="10">
        <f>'Detalle de Costos'!C58*0.2</f>
        <v>7558400</v>
      </c>
      <c r="G10" s="10">
        <f>'Detalle de Costos'!C58*0.2</f>
        <v>7558400</v>
      </c>
      <c r="H10" s="10">
        <f>'Detalle de Costos'!C58*0.15</f>
        <v>5668800</v>
      </c>
      <c r="I10" s="10">
        <f>'Detalle de Costos'!C58*0.05</f>
        <v>1889600</v>
      </c>
      <c r="J10" s="10">
        <f t="shared" si="0"/>
        <v>37792000</v>
      </c>
    </row>
    <row r="11" spans="1:10" ht="21.95" customHeight="1" x14ac:dyDescent="0.25">
      <c r="A11" s="16" t="s">
        <v>175</v>
      </c>
      <c r="B11" s="17">
        <f t="shared" ref="B11:J11" si="1">SUM(B4:B10)</f>
        <v>25837964.285714287</v>
      </c>
      <c r="C11" s="17">
        <f t="shared" si="1"/>
        <v>56189878.571428575</v>
      </c>
      <c r="D11" s="17">
        <f t="shared" si="1"/>
        <v>58104478.571428575</v>
      </c>
      <c r="E11" s="17">
        <f t="shared" si="1"/>
        <v>59729478.571428575</v>
      </c>
      <c r="F11" s="17">
        <f t="shared" si="1"/>
        <v>63848828.571428575</v>
      </c>
      <c r="G11" s="17">
        <f t="shared" si="1"/>
        <v>63929078.571428575</v>
      </c>
      <c r="H11" s="17">
        <f t="shared" si="1"/>
        <v>60064728.571428575</v>
      </c>
      <c r="I11" s="17">
        <f t="shared" si="1"/>
        <v>28007564.285714287</v>
      </c>
      <c r="J11" s="17">
        <f t="shared" si="1"/>
        <v>415712000</v>
      </c>
    </row>
    <row r="12" spans="1:10" ht="21.95" customHeight="1" x14ac:dyDescent="0.25">
      <c r="A12" s="18" t="s">
        <v>176</v>
      </c>
      <c r="B12" s="19">
        <f>B11</f>
        <v>25837964.285714287</v>
      </c>
      <c r="C12" s="19">
        <f t="shared" ref="C12:I12" si="2">B12+C11</f>
        <v>82027842.857142866</v>
      </c>
      <c r="D12" s="19">
        <f t="shared" si="2"/>
        <v>140132321.42857143</v>
      </c>
      <c r="E12" s="19">
        <f t="shared" si="2"/>
        <v>199861800</v>
      </c>
      <c r="F12" s="19">
        <f t="shared" si="2"/>
        <v>263710628.57142857</v>
      </c>
      <c r="G12" s="19">
        <f t="shared" si="2"/>
        <v>327639707.14285713</v>
      </c>
      <c r="H12" s="19">
        <f t="shared" si="2"/>
        <v>387704435.71428573</v>
      </c>
      <c r="I12" s="19">
        <f t="shared" si="2"/>
        <v>415712000</v>
      </c>
      <c r="J12" s="19">
        <f>I12</f>
        <v>415712000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Presupuestal</vt:lpstr>
      <vt:lpstr>Detalle de Costos</vt:lpstr>
      <vt:lpstr>Flujo de Caja por 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SANTIAGO AYALA MÉNDEZ</cp:lastModifiedBy>
  <dcterms:created xsi:type="dcterms:W3CDTF">2026-08-26T04:24:57Z</dcterms:created>
  <dcterms:modified xsi:type="dcterms:W3CDTF">2026-08-26T04:32:23Z</dcterms:modified>
</cp:coreProperties>
</file>